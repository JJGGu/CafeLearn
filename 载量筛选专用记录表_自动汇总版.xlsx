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单炉记录" sheetId="2" state="visible" r:id="rId2"/>
    <sheet xmlns:r="http://schemas.openxmlformats.org/officeDocument/2006/relationships" name="块汇总" sheetId="3" state="visible" r:id="rId3"/>
  </sheets>
  <definedNames>
    <definedName name="_xlnm._FilterDatabase" localSheetId="1" hidden="1">'单炉记录'!$A$1:$BD$201</definedName>
    <definedName name="_xlnm._FilterDatabase" localSheetId="2" hidden="1">'块汇总'!$A$1:$T$31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载量筛选专用记录表（自动汇总版）</t>
        </is>
      </c>
    </row>
    <row r="2">
      <c r="A2" s="2" t="inlineStr">
        <is>
          <t>用法：</t>
        </is>
      </c>
    </row>
    <row r="3">
      <c r="A3" s="3" t="inlineStr">
        <is>
          <t>1. 在“单炉记录”页一炉一行填写。</t>
        </is>
      </c>
    </row>
    <row r="4">
      <c r="A4" s="3" t="inlineStr">
        <is>
          <t>2. 时间列统一用“从投豆开始起算的秒数”，这样均值和范围最好算。</t>
        </is>
      </c>
    </row>
    <row r="5">
      <c r="A5" s="3" t="inlineStr">
        <is>
          <t>3. V/W/AS/AT/AU 列是自动公式，不用手填。</t>
        </is>
      </c>
    </row>
    <row r="6">
      <c r="A6" s="3" t="inlineStr">
        <is>
          <t>4. 在“块汇总”页 A 列填入实验块编号，例如 W01-A-120g。</t>
        </is>
      </c>
    </row>
    <row r="7">
      <c r="A7" s="3" t="inlineStr">
        <is>
          <t>5. 块汇总会自动拉出该块的载量、回温均值/范围、补救次数、过程评分均值和综合总分。</t>
        </is>
      </c>
    </row>
    <row r="8">
      <c r="A8" s="3" t="inlineStr">
        <is>
          <t>6. “连续5炉复现性”“定位”“下一步”“块结论一句话”建议在看完杯测后手填。</t>
        </is>
      </c>
    </row>
    <row r="9">
      <c r="A9" s="3" t="inlineStr">
        <is>
          <t>7. 一个实验块只放一个载量，不要在同块里混 120g / 150g / 190g。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16" customWidth="1" min="5" max="5"/>
    <col width="12" customWidth="1" min="6" max="6"/>
    <col width="18" customWidth="1" min="7" max="7"/>
    <col width="10" customWidth="1" min="8" max="8"/>
    <col width="10" customWidth="1" min="9" max="9"/>
    <col width="16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20" customWidth="1" min="24" max="24"/>
    <col width="10" customWidth="1" min="25" max="25"/>
    <col width="14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4" customWidth="1" min="33" max="33"/>
    <col width="12" customWidth="1" min="34" max="34"/>
    <col width="12" customWidth="1" min="35" max="35"/>
    <col width="12" customWidth="1" min="36" max="36"/>
    <col width="16" customWidth="1" min="37" max="37"/>
    <col width="14" customWidth="1" min="38" max="38"/>
    <col width="12" customWidth="1" min="39" max="39"/>
    <col width="14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2" customWidth="1" min="49" max="49"/>
    <col width="12" customWidth="1" min="50" max="50"/>
    <col width="12" customWidth="1" min="51" max="51"/>
    <col width="18" customWidth="1" min="52" max="52"/>
    <col width="12" customWidth="1" min="53" max="53"/>
    <col width="18" customWidth="1" min="54" max="54"/>
    <col width="18" customWidth="1" min="55" max="55"/>
    <col width="18" customWidth="1" min="56" max="56"/>
  </cols>
  <sheetData>
    <row r="1">
      <c r="A1" s="4" t="inlineStr">
        <is>
          <t>日期</t>
        </is>
      </c>
      <c r="B1" s="4" t="inlineStr">
        <is>
          <t>周次</t>
        </is>
      </c>
      <c r="C1" s="4" t="inlineStr">
        <is>
          <t>实验块编号</t>
        </is>
      </c>
      <c r="D1" s="4" t="inlineStr">
        <is>
          <t>样品编号</t>
        </is>
      </c>
      <c r="E1" s="4" t="inlineStr">
        <is>
          <t>豆名</t>
        </is>
      </c>
      <c r="F1" s="4" t="inlineStr">
        <is>
          <t>批次</t>
        </is>
      </c>
      <c r="G1" s="4" t="inlineStr">
        <is>
          <t>目标焙度/目标杯感</t>
        </is>
      </c>
      <c r="H1" s="4" t="inlineStr">
        <is>
          <t>载量(g)</t>
        </is>
      </c>
      <c r="I1" s="4" t="inlineStr">
        <is>
          <t>本块第几炉</t>
        </is>
      </c>
      <c r="J1" s="4" t="inlineStr">
        <is>
          <t>炉次角色(基准/复刻/偏移/确认)</t>
        </is>
      </c>
      <c r="K1" s="4" t="inlineStr">
        <is>
          <t>预热设定</t>
        </is>
      </c>
      <c r="L1" s="4" t="inlineStr">
        <is>
          <t>入豆温(℃)</t>
        </is>
      </c>
      <c r="M1" s="4" t="inlineStr">
        <is>
          <t>起始火力</t>
        </is>
      </c>
      <c r="N1" s="4" t="inlineStr">
        <is>
          <t>起始风门/联动风门</t>
        </is>
      </c>
      <c r="O1" s="4" t="inlineStr">
        <is>
          <t>环境温度(℃)</t>
        </is>
      </c>
      <c r="P1" s="4" t="inlineStr">
        <is>
          <t>环境湿度(%)</t>
        </is>
      </c>
      <c r="Q1" s="4" t="inlineStr">
        <is>
          <t>密度(g/L)</t>
        </is>
      </c>
      <c r="R1" s="4" t="inlineStr">
        <is>
          <t>含水率(%)</t>
        </is>
      </c>
      <c r="S1" s="4" t="inlineStr">
        <is>
          <t>投豆时间</t>
        </is>
      </c>
      <c r="T1" s="4" t="inlineStr">
        <is>
          <t>回温时间(秒)</t>
        </is>
      </c>
      <c r="U1" s="4" t="inlineStr">
        <is>
          <t>回温温度(℃)</t>
        </is>
      </c>
      <c r="V1" s="4" t="inlineStr">
        <is>
          <t>回温时间偏差(对块均值,秒)</t>
        </is>
      </c>
      <c r="W1" s="4" t="inlineStr">
        <is>
          <t>回温温度偏差(对块均值,℃)</t>
        </is>
      </c>
      <c r="X1" s="4" t="inlineStr">
        <is>
          <t>回温后前30-45秒节奏(平顺/略快/略慢/抢跑/发闷)</t>
        </is>
      </c>
      <c r="Y1" s="4" t="inlineStr">
        <is>
          <t>是否需要补救式修正(是/否)</t>
        </is>
      </c>
      <c r="Z1" s="4" t="inlineStr">
        <is>
          <t>补救动作</t>
        </is>
      </c>
      <c r="AA1" s="4" t="inlineStr">
        <is>
          <t>转黄时间(秒)</t>
        </is>
      </c>
      <c r="AB1" s="4" t="inlineStr">
        <is>
          <t>转黄温度(℃)</t>
        </is>
      </c>
      <c r="AC1" s="4" t="inlineStr">
        <is>
          <t>颜色转换清晰度(1-5)</t>
        </is>
      </c>
      <c r="AD1" s="4" t="inlineStr">
        <is>
          <t>气味转换清晰度(1-5)</t>
        </is>
      </c>
      <c r="AE1" s="4" t="inlineStr">
        <is>
          <t>第一段降火窗口感受(宽/中/窄)</t>
        </is>
      </c>
      <c r="AF1" s="4" t="inlineStr">
        <is>
          <t>第一段降火若早10秒结果</t>
        </is>
      </c>
      <c r="AG1" s="4" t="inlineStr">
        <is>
          <t>第一段降火若晚10秒结果</t>
        </is>
      </c>
      <c r="AH1" s="4" t="inlineStr">
        <is>
          <t>转黄前后操作空间评分(1-5)</t>
        </is>
      </c>
      <c r="AI1" s="4" t="inlineStr">
        <is>
          <t>一爆开始时间(秒)</t>
        </is>
      </c>
      <c r="AJ1" s="4" t="inlineStr">
        <is>
          <t>一爆开始温度(℃)</t>
        </is>
      </c>
      <c r="AK1" s="4" t="inlineStr">
        <is>
          <t>一爆前颜色是否突然加速(无/轻/重)</t>
        </is>
      </c>
      <c r="AL1" s="4" t="inlineStr">
        <is>
          <t>一爆前烟量上升(无/轻/重)</t>
        </is>
      </c>
      <c r="AM1" s="4" t="inlineStr">
        <is>
          <t>银皮飞出强度(弱/中/强)</t>
        </is>
      </c>
      <c r="AN1" s="4" t="inlineStr">
        <is>
          <t>爆裂进入方式(渐进/正常/暴冲)</t>
        </is>
      </c>
      <c r="AO1" s="4" t="inlineStr">
        <is>
          <t>是否需要大幅降火抢救(是/否)</t>
        </is>
      </c>
      <c r="AP1" s="4" t="inlineStr">
        <is>
          <t>一爆前过激风险评分_反向(1-5)</t>
        </is>
      </c>
      <c r="AQ1" s="4" t="inlineStr">
        <is>
          <t>下豆时间(秒)</t>
        </is>
      </c>
      <c r="AR1" s="4" t="inlineStr">
        <is>
          <t>下豆温度(℃)</t>
        </is>
      </c>
      <c r="AS1" s="4" t="inlineStr">
        <is>
          <t>总烘焙时间(秒)</t>
        </is>
      </c>
      <c r="AT1" s="4" t="inlineStr">
        <is>
          <t>发展时间(秒)</t>
        </is>
      </c>
      <c r="AU1" s="4" t="inlineStr">
        <is>
          <t>发展比(%)</t>
        </is>
      </c>
      <c r="AV1" s="4" t="inlineStr">
        <is>
          <t>失重率(%)</t>
        </is>
      </c>
      <c r="AW1" s="4" t="inlineStr">
        <is>
          <t>下豆色均匀度(1-5)</t>
        </is>
      </c>
      <c r="AX1" s="4" t="inlineStr">
        <is>
          <t>杯中清晰度(1-5)</t>
        </is>
      </c>
      <c r="AY1" s="4" t="inlineStr">
        <is>
          <t>杯中熟度感(1-5)</t>
        </is>
      </c>
      <c r="AZ1" s="4" t="inlineStr">
        <is>
          <t>杯中负向问题</t>
        </is>
      </c>
      <c r="BA1" s="4" t="inlineStr">
        <is>
          <t>回温可控性评分(1-5)</t>
        </is>
      </c>
      <c r="BB1" s="4" t="inlineStr">
        <is>
          <t>本炉结论(工作载量/备用载量/待观察/排除候选)</t>
        </is>
      </c>
      <c r="BC1" s="4" t="inlineStr">
        <is>
          <t>下一炉唯一改动</t>
        </is>
      </c>
      <c r="BD1" s="4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6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7">
        <f>IF(OR($C2="",T2=""),"",T2-AVERAGEIF($C:$C,$C2,$T:$T))</f>
        <v/>
      </c>
      <c r="W2" s="7">
        <f>IF(OR($C2="",U2=""),"",U2-AVERAGEIF($C:$C,$C2,$U:$U))</f>
        <v/>
      </c>
      <c r="X2" s="5" t="n"/>
      <c r="Y2" s="5" t="n"/>
      <c r="Z2" s="6" t="n"/>
      <c r="AA2" s="5" t="n"/>
      <c r="AB2" s="5" t="n"/>
      <c r="AC2" s="5" t="n"/>
      <c r="AD2" s="5" t="n"/>
      <c r="AE2" s="5" t="n"/>
      <c r="AF2" s="6" t="n"/>
      <c r="AG2" s="6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7">
        <f>IF(AQ2="","",AQ2)</f>
        <v/>
      </c>
      <c r="AT2" s="7">
        <f>IF(OR(AQ2="",AI2=""),"",AQ2-AI2)</f>
        <v/>
      </c>
      <c r="AU2" s="8">
        <f>IF(OR(AT2="",AQ2=""),"",AT2/AQ2)</f>
        <v/>
      </c>
      <c r="AV2" s="5" t="n"/>
      <c r="AW2" s="5" t="n"/>
      <c r="AX2" s="5" t="n"/>
      <c r="AY2" s="5" t="n"/>
      <c r="AZ2" s="5" t="n"/>
      <c r="BA2" s="6" t="n"/>
      <c r="BB2" s="5" t="n"/>
      <c r="BC2" s="6" t="n"/>
      <c r="BD2" s="6" t="n"/>
    </row>
    <row r="3">
      <c r="A3" s="5" t="n"/>
      <c r="B3" s="5" t="n"/>
      <c r="C3" s="5" t="n"/>
      <c r="D3" s="5" t="n"/>
      <c r="E3" s="5" t="n"/>
      <c r="F3" s="5" t="n"/>
      <c r="G3" s="6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7">
        <f>IF(OR($C3="",T3=""),"",T3-AVERAGEIF($C:$C,$C3,$T:$T))</f>
        <v/>
      </c>
      <c r="W3" s="7">
        <f>IF(OR($C3="",U3=""),"",U3-AVERAGEIF($C:$C,$C3,$U:$U))</f>
        <v/>
      </c>
      <c r="X3" s="5" t="n"/>
      <c r="Y3" s="5" t="n"/>
      <c r="Z3" s="6" t="n"/>
      <c r="AA3" s="5" t="n"/>
      <c r="AB3" s="5" t="n"/>
      <c r="AC3" s="5" t="n"/>
      <c r="AD3" s="5" t="n"/>
      <c r="AE3" s="5" t="n"/>
      <c r="AF3" s="6" t="n"/>
      <c r="AG3" s="6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7">
        <f>IF(AQ3="","",AQ3)</f>
        <v/>
      </c>
      <c r="AT3" s="7">
        <f>IF(OR(AQ3="",AI3=""),"",AQ3-AI3)</f>
        <v/>
      </c>
      <c r="AU3" s="8">
        <f>IF(OR(AT3="",AQ3=""),"",AT3/AQ3)</f>
        <v/>
      </c>
      <c r="AV3" s="5" t="n"/>
      <c r="AW3" s="5" t="n"/>
      <c r="AX3" s="5" t="n"/>
      <c r="AY3" s="5" t="n"/>
      <c r="AZ3" s="5" t="n"/>
      <c r="BA3" s="6" t="n"/>
      <c r="BB3" s="5" t="n"/>
      <c r="BC3" s="6" t="n"/>
      <c r="BD3" s="6" t="n"/>
    </row>
    <row r="4">
      <c r="A4" s="5" t="n"/>
      <c r="B4" s="5" t="n"/>
      <c r="C4" s="5" t="n"/>
      <c r="D4" s="5" t="n"/>
      <c r="E4" s="5" t="n"/>
      <c r="F4" s="5" t="n"/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7">
        <f>IF(OR($C4="",T4=""),"",T4-AVERAGEIF($C:$C,$C4,$T:$T))</f>
        <v/>
      </c>
      <c r="W4" s="7">
        <f>IF(OR($C4="",U4=""),"",U4-AVERAGEIF($C:$C,$C4,$U:$U))</f>
        <v/>
      </c>
      <c r="X4" s="5" t="n"/>
      <c r="Y4" s="5" t="n"/>
      <c r="Z4" s="6" t="n"/>
      <c r="AA4" s="5" t="n"/>
      <c r="AB4" s="5" t="n"/>
      <c r="AC4" s="5" t="n"/>
      <c r="AD4" s="5" t="n"/>
      <c r="AE4" s="5" t="n"/>
      <c r="AF4" s="6" t="n"/>
      <c r="AG4" s="6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7">
        <f>IF(AQ4="","",AQ4)</f>
        <v/>
      </c>
      <c r="AT4" s="7">
        <f>IF(OR(AQ4="",AI4=""),"",AQ4-AI4)</f>
        <v/>
      </c>
      <c r="AU4" s="8">
        <f>IF(OR(AT4="",AQ4=""),"",AT4/AQ4)</f>
        <v/>
      </c>
      <c r="AV4" s="5" t="n"/>
      <c r="AW4" s="5" t="n"/>
      <c r="AX4" s="5" t="n"/>
      <c r="AY4" s="5" t="n"/>
      <c r="AZ4" s="5" t="n"/>
      <c r="BA4" s="6" t="n"/>
      <c r="BB4" s="5" t="n"/>
      <c r="BC4" s="6" t="n"/>
      <c r="BD4" s="6" t="n"/>
    </row>
    <row r="5">
      <c r="A5" s="5" t="n"/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7">
        <f>IF(OR($C5="",T5=""),"",T5-AVERAGEIF($C:$C,$C5,$T:$T))</f>
        <v/>
      </c>
      <c r="W5" s="7">
        <f>IF(OR($C5="",U5=""),"",U5-AVERAGEIF($C:$C,$C5,$U:$U))</f>
        <v/>
      </c>
      <c r="X5" s="5" t="n"/>
      <c r="Y5" s="5" t="n"/>
      <c r="Z5" s="6" t="n"/>
      <c r="AA5" s="5" t="n"/>
      <c r="AB5" s="5" t="n"/>
      <c r="AC5" s="5" t="n"/>
      <c r="AD5" s="5" t="n"/>
      <c r="AE5" s="5" t="n"/>
      <c r="AF5" s="6" t="n"/>
      <c r="AG5" s="6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7">
        <f>IF(AQ5="","",AQ5)</f>
        <v/>
      </c>
      <c r="AT5" s="7">
        <f>IF(OR(AQ5="",AI5=""),"",AQ5-AI5)</f>
        <v/>
      </c>
      <c r="AU5" s="8">
        <f>IF(OR(AT5="",AQ5=""),"",AT5/AQ5)</f>
        <v/>
      </c>
      <c r="AV5" s="5" t="n"/>
      <c r="AW5" s="5" t="n"/>
      <c r="AX5" s="5" t="n"/>
      <c r="AY5" s="5" t="n"/>
      <c r="AZ5" s="5" t="n"/>
      <c r="BA5" s="6" t="n"/>
      <c r="BB5" s="5" t="n"/>
      <c r="BC5" s="6" t="n"/>
      <c r="BD5" s="6" t="n"/>
    </row>
    <row r="6">
      <c r="A6" s="5" t="n"/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7">
        <f>IF(OR($C6="",T6=""),"",T6-AVERAGEIF($C:$C,$C6,$T:$T))</f>
        <v/>
      </c>
      <c r="W6" s="7">
        <f>IF(OR($C6="",U6=""),"",U6-AVERAGEIF($C:$C,$C6,$U:$U))</f>
        <v/>
      </c>
      <c r="X6" s="5" t="n"/>
      <c r="Y6" s="5" t="n"/>
      <c r="Z6" s="6" t="n"/>
      <c r="AA6" s="5" t="n"/>
      <c r="AB6" s="5" t="n"/>
      <c r="AC6" s="5" t="n"/>
      <c r="AD6" s="5" t="n"/>
      <c r="AE6" s="5" t="n"/>
      <c r="AF6" s="6" t="n"/>
      <c r="AG6" s="6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7">
        <f>IF(AQ6="","",AQ6)</f>
        <v/>
      </c>
      <c r="AT6" s="7">
        <f>IF(OR(AQ6="",AI6=""),"",AQ6-AI6)</f>
        <v/>
      </c>
      <c r="AU6" s="8">
        <f>IF(OR(AT6="",AQ6=""),"",AT6/AQ6)</f>
        <v/>
      </c>
      <c r="AV6" s="5" t="n"/>
      <c r="AW6" s="5" t="n"/>
      <c r="AX6" s="5" t="n"/>
      <c r="AY6" s="5" t="n"/>
      <c r="AZ6" s="5" t="n"/>
      <c r="BA6" s="6" t="n"/>
      <c r="BB6" s="5" t="n"/>
      <c r="BC6" s="6" t="n"/>
      <c r="BD6" s="6" t="n"/>
    </row>
    <row r="7">
      <c r="A7" s="5" t="n"/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7">
        <f>IF(OR($C7="",T7=""),"",T7-AVERAGEIF($C:$C,$C7,$T:$T))</f>
        <v/>
      </c>
      <c r="W7" s="7">
        <f>IF(OR($C7="",U7=""),"",U7-AVERAGEIF($C:$C,$C7,$U:$U))</f>
        <v/>
      </c>
      <c r="X7" s="5" t="n"/>
      <c r="Y7" s="5" t="n"/>
      <c r="Z7" s="6" t="n"/>
      <c r="AA7" s="5" t="n"/>
      <c r="AB7" s="5" t="n"/>
      <c r="AC7" s="5" t="n"/>
      <c r="AD7" s="5" t="n"/>
      <c r="AE7" s="5" t="n"/>
      <c r="AF7" s="6" t="n"/>
      <c r="AG7" s="6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7">
        <f>IF(AQ7="","",AQ7)</f>
        <v/>
      </c>
      <c r="AT7" s="7">
        <f>IF(OR(AQ7="",AI7=""),"",AQ7-AI7)</f>
        <v/>
      </c>
      <c r="AU7" s="8">
        <f>IF(OR(AT7="",AQ7=""),"",AT7/AQ7)</f>
        <v/>
      </c>
      <c r="AV7" s="5" t="n"/>
      <c r="AW7" s="5" t="n"/>
      <c r="AX7" s="5" t="n"/>
      <c r="AY7" s="5" t="n"/>
      <c r="AZ7" s="5" t="n"/>
      <c r="BA7" s="6" t="n"/>
      <c r="BB7" s="5" t="n"/>
      <c r="BC7" s="6" t="n"/>
      <c r="BD7" s="6" t="n"/>
    </row>
    <row r="8">
      <c r="A8" s="5" t="n"/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7">
        <f>IF(OR($C8="",T8=""),"",T8-AVERAGEIF($C:$C,$C8,$T:$T))</f>
        <v/>
      </c>
      <c r="W8" s="7">
        <f>IF(OR($C8="",U8=""),"",U8-AVERAGEIF($C:$C,$C8,$U:$U))</f>
        <v/>
      </c>
      <c r="X8" s="5" t="n"/>
      <c r="Y8" s="5" t="n"/>
      <c r="Z8" s="6" t="n"/>
      <c r="AA8" s="5" t="n"/>
      <c r="AB8" s="5" t="n"/>
      <c r="AC8" s="5" t="n"/>
      <c r="AD8" s="5" t="n"/>
      <c r="AE8" s="5" t="n"/>
      <c r="AF8" s="6" t="n"/>
      <c r="AG8" s="6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7">
        <f>IF(AQ8="","",AQ8)</f>
        <v/>
      </c>
      <c r="AT8" s="7">
        <f>IF(OR(AQ8="",AI8=""),"",AQ8-AI8)</f>
        <v/>
      </c>
      <c r="AU8" s="8">
        <f>IF(OR(AT8="",AQ8=""),"",AT8/AQ8)</f>
        <v/>
      </c>
      <c r="AV8" s="5" t="n"/>
      <c r="AW8" s="5" t="n"/>
      <c r="AX8" s="5" t="n"/>
      <c r="AY8" s="5" t="n"/>
      <c r="AZ8" s="5" t="n"/>
      <c r="BA8" s="6" t="n"/>
      <c r="BB8" s="5" t="n"/>
      <c r="BC8" s="6" t="n"/>
      <c r="BD8" s="6" t="n"/>
    </row>
    <row r="9">
      <c r="A9" s="5" t="n"/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7">
        <f>IF(OR($C9="",T9=""),"",T9-AVERAGEIF($C:$C,$C9,$T:$T))</f>
        <v/>
      </c>
      <c r="W9" s="7">
        <f>IF(OR($C9="",U9=""),"",U9-AVERAGEIF($C:$C,$C9,$U:$U))</f>
        <v/>
      </c>
      <c r="X9" s="5" t="n"/>
      <c r="Y9" s="5" t="n"/>
      <c r="Z9" s="6" t="n"/>
      <c r="AA9" s="5" t="n"/>
      <c r="AB9" s="5" t="n"/>
      <c r="AC9" s="5" t="n"/>
      <c r="AD9" s="5" t="n"/>
      <c r="AE9" s="5" t="n"/>
      <c r="AF9" s="6" t="n"/>
      <c r="AG9" s="6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7">
        <f>IF(AQ9="","",AQ9)</f>
        <v/>
      </c>
      <c r="AT9" s="7">
        <f>IF(OR(AQ9="",AI9=""),"",AQ9-AI9)</f>
        <v/>
      </c>
      <c r="AU9" s="8">
        <f>IF(OR(AT9="",AQ9=""),"",AT9/AQ9)</f>
        <v/>
      </c>
      <c r="AV9" s="5" t="n"/>
      <c r="AW9" s="5" t="n"/>
      <c r="AX9" s="5" t="n"/>
      <c r="AY9" s="5" t="n"/>
      <c r="AZ9" s="5" t="n"/>
      <c r="BA9" s="6" t="n"/>
      <c r="BB9" s="5" t="n"/>
      <c r="BC9" s="6" t="n"/>
      <c r="BD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7">
        <f>IF(OR($C10="",T10=""),"",T10-AVERAGEIF($C:$C,$C10,$T:$T))</f>
        <v/>
      </c>
      <c r="W10" s="7">
        <f>IF(OR($C10="",U10=""),"",U10-AVERAGEIF($C:$C,$C10,$U:$U))</f>
        <v/>
      </c>
      <c r="X10" s="5" t="n"/>
      <c r="Y10" s="5" t="n"/>
      <c r="Z10" s="6" t="n"/>
      <c r="AA10" s="5" t="n"/>
      <c r="AB10" s="5" t="n"/>
      <c r="AC10" s="5" t="n"/>
      <c r="AD10" s="5" t="n"/>
      <c r="AE10" s="5" t="n"/>
      <c r="AF10" s="6" t="n"/>
      <c r="AG10" s="6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7">
        <f>IF(AQ10="","",AQ10)</f>
        <v/>
      </c>
      <c r="AT10" s="7">
        <f>IF(OR(AQ10="",AI10=""),"",AQ10-AI10)</f>
        <v/>
      </c>
      <c r="AU10" s="8">
        <f>IF(OR(AT10="",AQ10=""),"",AT10/AQ10)</f>
        <v/>
      </c>
      <c r="AV10" s="5" t="n"/>
      <c r="AW10" s="5" t="n"/>
      <c r="AX10" s="5" t="n"/>
      <c r="AY10" s="5" t="n"/>
      <c r="AZ10" s="5" t="n"/>
      <c r="BA10" s="6" t="n"/>
      <c r="BB10" s="5" t="n"/>
      <c r="BC10" s="6" t="n"/>
      <c r="BD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7">
        <f>IF(OR($C11="",T11=""),"",T11-AVERAGEIF($C:$C,$C11,$T:$T))</f>
        <v/>
      </c>
      <c r="W11" s="7">
        <f>IF(OR($C11="",U11=""),"",U11-AVERAGEIF($C:$C,$C11,$U:$U))</f>
        <v/>
      </c>
      <c r="X11" s="5" t="n"/>
      <c r="Y11" s="5" t="n"/>
      <c r="Z11" s="6" t="n"/>
      <c r="AA11" s="5" t="n"/>
      <c r="AB11" s="5" t="n"/>
      <c r="AC11" s="5" t="n"/>
      <c r="AD11" s="5" t="n"/>
      <c r="AE11" s="5" t="n"/>
      <c r="AF11" s="6" t="n"/>
      <c r="AG11" s="6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7">
        <f>IF(AQ11="","",AQ11)</f>
        <v/>
      </c>
      <c r="AT11" s="7">
        <f>IF(OR(AQ11="",AI11=""),"",AQ11-AI11)</f>
        <v/>
      </c>
      <c r="AU11" s="8">
        <f>IF(OR(AT11="",AQ11=""),"",AT11/AQ11)</f>
        <v/>
      </c>
      <c r="AV11" s="5" t="n"/>
      <c r="AW11" s="5" t="n"/>
      <c r="AX11" s="5" t="n"/>
      <c r="AY11" s="5" t="n"/>
      <c r="AZ11" s="5" t="n"/>
      <c r="BA11" s="6" t="n"/>
      <c r="BB11" s="5" t="n"/>
      <c r="BC11" s="6" t="n"/>
      <c r="BD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7">
        <f>IF(OR($C12="",T12=""),"",T12-AVERAGEIF($C:$C,$C12,$T:$T))</f>
        <v/>
      </c>
      <c r="W12" s="7">
        <f>IF(OR($C12="",U12=""),"",U12-AVERAGEIF($C:$C,$C12,$U:$U))</f>
        <v/>
      </c>
      <c r="X12" s="5" t="n"/>
      <c r="Y12" s="5" t="n"/>
      <c r="Z12" s="6" t="n"/>
      <c r="AA12" s="5" t="n"/>
      <c r="AB12" s="5" t="n"/>
      <c r="AC12" s="5" t="n"/>
      <c r="AD12" s="5" t="n"/>
      <c r="AE12" s="5" t="n"/>
      <c r="AF12" s="6" t="n"/>
      <c r="AG12" s="6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7">
        <f>IF(AQ12="","",AQ12)</f>
        <v/>
      </c>
      <c r="AT12" s="7">
        <f>IF(OR(AQ12="",AI12=""),"",AQ12-AI12)</f>
        <v/>
      </c>
      <c r="AU12" s="8">
        <f>IF(OR(AT12="",AQ12=""),"",AT12/AQ12)</f>
        <v/>
      </c>
      <c r="AV12" s="5" t="n"/>
      <c r="AW12" s="5" t="n"/>
      <c r="AX12" s="5" t="n"/>
      <c r="AY12" s="5" t="n"/>
      <c r="AZ12" s="5" t="n"/>
      <c r="BA12" s="6" t="n"/>
      <c r="BB12" s="5" t="n"/>
      <c r="BC12" s="6" t="n"/>
      <c r="BD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7">
        <f>IF(OR($C13="",T13=""),"",T13-AVERAGEIF($C:$C,$C13,$T:$T))</f>
        <v/>
      </c>
      <c r="W13" s="7">
        <f>IF(OR($C13="",U13=""),"",U13-AVERAGEIF($C:$C,$C13,$U:$U))</f>
        <v/>
      </c>
      <c r="X13" s="5" t="n"/>
      <c r="Y13" s="5" t="n"/>
      <c r="Z13" s="6" t="n"/>
      <c r="AA13" s="5" t="n"/>
      <c r="AB13" s="5" t="n"/>
      <c r="AC13" s="5" t="n"/>
      <c r="AD13" s="5" t="n"/>
      <c r="AE13" s="5" t="n"/>
      <c r="AF13" s="6" t="n"/>
      <c r="AG13" s="6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7">
        <f>IF(AQ13="","",AQ13)</f>
        <v/>
      </c>
      <c r="AT13" s="7">
        <f>IF(OR(AQ13="",AI13=""),"",AQ13-AI13)</f>
        <v/>
      </c>
      <c r="AU13" s="8">
        <f>IF(OR(AT13="",AQ13=""),"",AT13/AQ13)</f>
        <v/>
      </c>
      <c r="AV13" s="5" t="n"/>
      <c r="AW13" s="5" t="n"/>
      <c r="AX13" s="5" t="n"/>
      <c r="AY13" s="5" t="n"/>
      <c r="AZ13" s="5" t="n"/>
      <c r="BA13" s="6" t="n"/>
      <c r="BB13" s="5" t="n"/>
      <c r="BC13" s="6" t="n"/>
      <c r="BD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7">
        <f>IF(OR($C14="",T14=""),"",T14-AVERAGEIF($C:$C,$C14,$T:$T))</f>
        <v/>
      </c>
      <c r="W14" s="7">
        <f>IF(OR($C14="",U14=""),"",U14-AVERAGEIF($C:$C,$C14,$U:$U))</f>
        <v/>
      </c>
      <c r="X14" s="5" t="n"/>
      <c r="Y14" s="5" t="n"/>
      <c r="Z14" s="6" t="n"/>
      <c r="AA14" s="5" t="n"/>
      <c r="AB14" s="5" t="n"/>
      <c r="AC14" s="5" t="n"/>
      <c r="AD14" s="5" t="n"/>
      <c r="AE14" s="5" t="n"/>
      <c r="AF14" s="6" t="n"/>
      <c r="AG14" s="6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7">
        <f>IF(AQ14="","",AQ14)</f>
        <v/>
      </c>
      <c r="AT14" s="7">
        <f>IF(OR(AQ14="",AI14=""),"",AQ14-AI14)</f>
        <v/>
      </c>
      <c r="AU14" s="8">
        <f>IF(OR(AT14="",AQ14=""),"",AT14/AQ14)</f>
        <v/>
      </c>
      <c r="AV14" s="5" t="n"/>
      <c r="AW14" s="5" t="n"/>
      <c r="AX14" s="5" t="n"/>
      <c r="AY14" s="5" t="n"/>
      <c r="AZ14" s="5" t="n"/>
      <c r="BA14" s="6" t="n"/>
      <c r="BB14" s="5" t="n"/>
      <c r="BC14" s="6" t="n"/>
      <c r="BD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7">
        <f>IF(OR($C15="",T15=""),"",T15-AVERAGEIF($C:$C,$C15,$T:$T))</f>
        <v/>
      </c>
      <c r="W15" s="7">
        <f>IF(OR($C15="",U15=""),"",U15-AVERAGEIF($C:$C,$C15,$U:$U))</f>
        <v/>
      </c>
      <c r="X15" s="5" t="n"/>
      <c r="Y15" s="5" t="n"/>
      <c r="Z15" s="6" t="n"/>
      <c r="AA15" s="5" t="n"/>
      <c r="AB15" s="5" t="n"/>
      <c r="AC15" s="5" t="n"/>
      <c r="AD15" s="5" t="n"/>
      <c r="AE15" s="5" t="n"/>
      <c r="AF15" s="6" t="n"/>
      <c r="AG15" s="6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7">
        <f>IF(AQ15="","",AQ15)</f>
        <v/>
      </c>
      <c r="AT15" s="7">
        <f>IF(OR(AQ15="",AI15=""),"",AQ15-AI15)</f>
        <v/>
      </c>
      <c r="AU15" s="8">
        <f>IF(OR(AT15="",AQ15=""),"",AT15/AQ15)</f>
        <v/>
      </c>
      <c r="AV15" s="5" t="n"/>
      <c r="AW15" s="5" t="n"/>
      <c r="AX15" s="5" t="n"/>
      <c r="AY15" s="5" t="n"/>
      <c r="AZ15" s="5" t="n"/>
      <c r="BA15" s="6" t="n"/>
      <c r="BB15" s="5" t="n"/>
      <c r="BC15" s="6" t="n"/>
      <c r="BD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7">
        <f>IF(OR($C16="",T16=""),"",T16-AVERAGEIF($C:$C,$C16,$T:$T))</f>
        <v/>
      </c>
      <c r="W16" s="7">
        <f>IF(OR($C16="",U16=""),"",U16-AVERAGEIF($C:$C,$C16,$U:$U))</f>
        <v/>
      </c>
      <c r="X16" s="5" t="n"/>
      <c r="Y16" s="5" t="n"/>
      <c r="Z16" s="6" t="n"/>
      <c r="AA16" s="5" t="n"/>
      <c r="AB16" s="5" t="n"/>
      <c r="AC16" s="5" t="n"/>
      <c r="AD16" s="5" t="n"/>
      <c r="AE16" s="5" t="n"/>
      <c r="AF16" s="6" t="n"/>
      <c r="AG16" s="6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7">
        <f>IF(AQ16="","",AQ16)</f>
        <v/>
      </c>
      <c r="AT16" s="7">
        <f>IF(OR(AQ16="",AI16=""),"",AQ16-AI16)</f>
        <v/>
      </c>
      <c r="AU16" s="8">
        <f>IF(OR(AT16="",AQ16=""),"",AT16/AQ16)</f>
        <v/>
      </c>
      <c r="AV16" s="5" t="n"/>
      <c r="AW16" s="5" t="n"/>
      <c r="AX16" s="5" t="n"/>
      <c r="AY16" s="5" t="n"/>
      <c r="AZ16" s="5" t="n"/>
      <c r="BA16" s="6" t="n"/>
      <c r="BB16" s="5" t="n"/>
      <c r="BC16" s="6" t="n"/>
      <c r="BD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7">
        <f>IF(OR($C17="",T17=""),"",T17-AVERAGEIF($C:$C,$C17,$T:$T))</f>
        <v/>
      </c>
      <c r="W17" s="7">
        <f>IF(OR($C17="",U17=""),"",U17-AVERAGEIF($C:$C,$C17,$U:$U))</f>
        <v/>
      </c>
      <c r="X17" s="5" t="n"/>
      <c r="Y17" s="5" t="n"/>
      <c r="Z17" s="6" t="n"/>
      <c r="AA17" s="5" t="n"/>
      <c r="AB17" s="5" t="n"/>
      <c r="AC17" s="5" t="n"/>
      <c r="AD17" s="5" t="n"/>
      <c r="AE17" s="5" t="n"/>
      <c r="AF17" s="6" t="n"/>
      <c r="AG17" s="6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7">
        <f>IF(AQ17="","",AQ17)</f>
        <v/>
      </c>
      <c r="AT17" s="7">
        <f>IF(OR(AQ17="",AI17=""),"",AQ17-AI17)</f>
        <v/>
      </c>
      <c r="AU17" s="8">
        <f>IF(OR(AT17="",AQ17=""),"",AT17/AQ17)</f>
        <v/>
      </c>
      <c r="AV17" s="5" t="n"/>
      <c r="AW17" s="5" t="n"/>
      <c r="AX17" s="5" t="n"/>
      <c r="AY17" s="5" t="n"/>
      <c r="AZ17" s="5" t="n"/>
      <c r="BA17" s="6" t="n"/>
      <c r="BB17" s="5" t="n"/>
      <c r="BC17" s="6" t="n"/>
      <c r="BD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7">
        <f>IF(OR($C18="",T18=""),"",T18-AVERAGEIF($C:$C,$C18,$T:$T))</f>
        <v/>
      </c>
      <c r="W18" s="7">
        <f>IF(OR($C18="",U18=""),"",U18-AVERAGEIF($C:$C,$C18,$U:$U))</f>
        <v/>
      </c>
      <c r="X18" s="5" t="n"/>
      <c r="Y18" s="5" t="n"/>
      <c r="Z18" s="6" t="n"/>
      <c r="AA18" s="5" t="n"/>
      <c r="AB18" s="5" t="n"/>
      <c r="AC18" s="5" t="n"/>
      <c r="AD18" s="5" t="n"/>
      <c r="AE18" s="5" t="n"/>
      <c r="AF18" s="6" t="n"/>
      <c r="AG18" s="6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7">
        <f>IF(AQ18="","",AQ18)</f>
        <v/>
      </c>
      <c r="AT18" s="7">
        <f>IF(OR(AQ18="",AI18=""),"",AQ18-AI18)</f>
        <v/>
      </c>
      <c r="AU18" s="8">
        <f>IF(OR(AT18="",AQ18=""),"",AT18/AQ18)</f>
        <v/>
      </c>
      <c r="AV18" s="5" t="n"/>
      <c r="AW18" s="5" t="n"/>
      <c r="AX18" s="5" t="n"/>
      <c r="AY18" s="5" t="n"/>
      <c r="AZ18" s="5" t="n"/>
      <c r="BA18" s="6" t="n"/>
      <c r="BB18" s="5" t="n"/>
      <c r="BC18" s="6" t="n"/>
      <c r="BD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7">
        <f>IF(OR($C19="",T19=""),"",T19-AVERAGEIF($C:$C,$C19,$T:$T))</f>
        <v/>
      </c>
      <c r="W19" s="7">
        <f>IF(OR($C19="",U19=""),"",U19-AVERAGEIF($C:$C,$C19,$U:$U))</f>
        <v/>
      </c>
      <c r="X19" s="5" t="n"/>
      <c r="Y19" s="5" t="n"/>
      <c r="Z19" s="6" t="n"/>
      <c r="AA19" s="5" t="n"/>
      <c r="AB19" s="5" t="n"/>
      <c r="AC19" s="5" t="n"/>
      <c r="AD19" s="5" t="n"/>
      <c r="AE19" s="5" t="n"/>
      <c r="AF19" s="6" t="n"/>
      <c r="AG19" s="6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7">
        <f>IF(AQ19="","",AQ19)</f>
        <v/>
      </c>
      <c r="AT19" s="7">
        <f>IF(OR(AQ19="",AI19=""),"",AQ19-AI19)</f>
        <v/>
      </c>
      <c r="AU19" s="8">
        <f>IF(OR(AT19="",AQ19=""),"",AT19/AQ19)</f>
        <v/>
      </c>
      <c r="AV19" s="5" t="n"/>
      <c r="AW19" s="5" t="n"/>
      <c r="AX19" s="5" t="n"/>
      <c r="AY19" s="5" t="n"/>
      <c r="AZ19" s="5" t="n"/>
      <c r="BA19" s="6" t="n"/>
      <c r="BB19" s="5" t="n"/>
      <c r="BC19" s="6" t="n"/>
      <c r="BD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7">
        <f>IF(OR($C20="",T20=""),"",T20-AVERAGEIF($C:$C,$C20,$T:$T))</f>
        <v/>
      </c>
      <c r="W20" s="7">
        <f>IF(OR($C20="",U20=""),"",U20-AVERAGEIF($C:$C,$C20,$U:$U))</f>
        <v/>
      </c>
      <c r="X20" s="5" t="n"/>
      <c r="Y20" s="5" t="n"/>
      <c r="Z20" s="6" t="n"/>
      <c r="AA20" s="5" t="n"/>
      <c r="AB20" s="5" t="n"/>
      <c r="AC20" s="5" t="n"/>
      <c r="AD20" s="5" t="n"/>
      <c r="AE20" s="5" t="n"/>
      <c r="AF20" s="6" t="n"/>
      <c r="AG20" s="6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7">
        <f>IF(AQ20="","",AQ20)</f>
        <v/>
      </c>
      <c r="AT20" s="7">
        <f>IF(OR(AQ20="",AI20=""),"",AQ20-AI20)</f>
        <v/>
      </c>
      <c r="AU20" s="8">
        <f>IF(OR(AT20="",AQ20=""),"",AT20/AQ20)</f>
        <v/>
      </c>
      <c r="AV20" s="5" t="n"/>
      <c r="AW20" s="5" t="n"/>
      <c r="AX20" s="5" t="n"/>
      <c r="AY20" s="5" t="n"/>
      <c r="AZ20" s="5" t="n"/>
      <c r="BA20" s="6" t="n"/>
      <c r="BB20" s="5" t="n"/>
      <c r="BC20" s="6" t="n"/>
      <c r="BD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7">
        <f>IF(OR($C21="",T21=""),"",T21-AVERAGEIF($C:$C,$C21,$T:$T))</f>
        <v/>
      </c>
      <c r="W21" s="7">
        <f>IF(OR($C21="",U21=""),"",U21-AVERAGEIF($C:$C,$C21,$U:$U))</f>
        <v/>
      </c>
      <c r="X21" s="5" t="n"/>
      <c r="Y21" s="5" t="n"/>
      <c r="Z21" s="6" t="n"/>
      <c r="AA21" s="5" t="n"/>
      <c r="AB21" s="5" t="n"/>
      <c r="AC21" s="5" t="n"/>
      <c r="AD21" s="5" t="n"/>
      <c r="AE21" s="5" t="n"/>
      <c r="AF21" s="6" t="n"/>
      <c r="AG21" s="6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7">
        <f>IF(AQ21="","",AQ21)</f>
        <v/>
      </c>
      <c r="AT21" s="7">
        <f>IF(OR(AQ21="",AI21=""),"",AQ21-AI21)</f>
        <v/>
      </c>
      <c r="AU21" s="8">
        <f>IF(OR(AT21="",AQ21=""),"",AT21/AQ21)</f>
        <v/>
      </c>
      <c r="AV21" s="5" t="n"/>
      <c r="AW21" s="5" t="n"/>
      <c r="AX21" s="5" t="n"/>
      <c r="AY21" s="5" t="n"/>
      <c r="AZ21" s="5" t="n"/>
      <c r="BA21" s="6" t="n"/>
      <c r="BB21" s="5" t="n"/>
      <c r="BC21" s="6" t="n"/>
      <c r="BD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7">
        <f>IF(OR($C22="",T22=""),"",T22-AVERAGEIF($C:$C,$C22,$T:$T))</f>
        <v/>
      </c>
      <c r="W22" s="7">
        <f>IF(OR($C22="",U22=""),"",U22-AVERAGEIF($C:$C,$C22,$U:$U))</f>
        <v/>
      </c>
      <c r="X22" s="5" t="n"/>
      <c r="Y22" s="5" t="n"/>
      <c r="Z22" s="6" t="n"/>
      <c r="AA22" s="5" t="n"/>
      <c r="AB22" s="5" t="n"/>
      <c r="AC22" s="5" t="n"/>
      <c r="AD22" s="5" t="n"/>
      <c r="AE22" s="5" t="n"/>
      <c r="AF22" s="6" t="n"/>
      <c r="AG22" s="6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7">
        <f>IF(AQ22="","",AQ22)</f>
        <v/>
      </c>
      <c r="AT22" s="7">
        <f>IF(OR(AQ22="",AI22=""),"",AQ22-AI22)</f>
        <v/>
      </c>
      <c r="AU22" s="8">
        <f>IF(OR(AT22="",AQ22=""),"",AT22/AQ22)</f>
        <v/>
      </c>
      <c r="AV22" s="5" t="n"/>
      <c r="AW22" s="5" t="n"/>
      <c r="AX22" s="5" t="n"/>
      <c r="AY22" s="5" t="n"/>
      <c r="AZ22" s="5" t="n"/>
      <c r="BA22" s="6" t="n"/>
      <c r="BB22" s="5" t="n"/>
      <c r="BC22" s="6" t="n"/>
      <c r="BD22" s="6" t="n"/>
    </row>
    <row r="23">
      <c r="A23" s="5" t="n"/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7">
        <f>IF(OR($C23="",T23=""),"",T23-AVERAGEIF($C:$C,$C23,$T:$T))</f>
        <v/>
      </c>
      <c r="W23" s="7">
        <f>IF(OR($C23="",U23=""),"",U23-AVERAGEIF($C:$C,$C23,$U:$U))</f>
        <v/>
      </c>
      <c r="X23" s="5" t="n"/>
      <c r="Y23" s="5" t="n"/>
      <c r="Z23" s="6" t="n"/>
      <c r="AA23" s="5" t="n"/>
      <c r="AB23" s="5" t="n"/>
      <c r="AC23" s="5" t="n"/>
      <c r="AD23" s="5" t="n"/>
      <c r="AE23" s="5" t="n"/>
      <c r="AF23" s="6" t="n"/>
      <c r="AG23" s="6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7">
        <f>IF(AQ23="","",AQ23)</f>
        <v/>
      </c>
      <c r="AT23" s="7">
        <f>IF(OR(AQ23="",AI23=""),"",AQ23-AI23)</f>
        <v/>
      </c>
      <c r="AU23" s="8">
        <f>IF(OR(AT23="",AQ23=""),"",AT23/AQ23)</f>
        <v/>
      </c>
      <c r="AV23" s="5" t="n"/>
      <c r="AW23" s="5" t="n"/>
      <c r="AX23" s="5" t="n"/>
      <c r="AY23" s="5" t="n"/>
      <c r="AZ23" s="5" t="n"/>
      <c r="BA23" s="6" t="n"/>
      <c r="BB23" s="5" t="n"/>
      <c r="BC23" s="6" t="n"/>
      <c r="BD23" s="6" t="n"/>
    </row>
    <row r="24">
      <c r="A24" s="5" t="n"/>
      <c r="B24" s="5" t="n"/>
      <c r="C24" s="5" t="n"/>
      <c r="D24" s="5" t="n"/>
      <c r="E24" s="5" t="n"/>
      <c r="F24" s="5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7">
        <f>IF(OR($C24="",T24=""),"",T24-AVERAGEIF($C:$C,$C24,$T:$T))</f>
        <v/>
      </c>
      <c r="W24" s="7">
        <f>IF(OR($C24="",U24=""),"",U24-AVERAGEIF($C:$C,$C24,$U:$U))</f>
        <v/>
      </c>
      <c r="X24" s="5" t="n"/>
      <c r="Y24" s="5" t="n"/>
      <c r="Z24" s="6" t="n"/>
      <c r="AA24" s="5" t="n"/>
      <c r="AB24" s="5" t="n"/>
      <c r="AC24" s="5" t="n"/>
      <c r="AD24" s="5" t="n"/>
      <c r="AE24" s="5" t="n"/>
      <c r="AF24" s="6" t="n"/>
      <c r="AG24" s="6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7">
        <f>IF(AQ24="","",AQ24)</f>
        <v/>
      </c>
      <c r="AT24" s="7">
        <f>IF(OR(AQ24="",AI24=""),"",AQ24-AI24)</f>
        <v/>
      </c>
      <c r="AU24" s="8">
        <f>IF(OR(AT24="",AQ24=""),"",AT24/AQ24)</f>
        <v/>
      </c>
      <c r="AV24" s="5" t="n"/>
      <c r="AW24" s="5" t="n"/>
      <c r="AX24" s="5" t="n"/>
      <c r="AY24" s="5" t="n"/>
      <c r="AZ24" s="5" t="n"/>
      <c r="BA24" s="6" t="n"/>
      <c r="BB24" s="5" t="n"/>
      <c r="BC24" s="6" t="n"/>
      <c r="BD24" s="6" t="n"/>
    </row>
    <row r="25">
      <c r="A25" s="5" t="n"/>
      <c r="B25" s="5" t="n"/>
      <c r="C25" s="5" t="n"/>
      <c r="D25" s="5" t="n"/>
      <c r="E25" s="5" t="n"/>
      <c r="F25" s="5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7">
        <f>IF(OR($C25="",T25=""),"",T25-AVERAGEIF($C:$C,$C25,$T:$T))</f>
        <v/>
      </c>
      <c r="W25" s="7">
        <f>IF(OR($C25="",U25=""),"",U25-AVERAGEIF($C:$C,$C25,$U:$U))</f>
        <v/>
      </c>
      <c r="X25" s="5" t="n"/>
      <c r="Y25" s="5" t="n"/>
      <c r="Z25" s="6" t="n"/>
      <c r="AA25" s="5" t="n"/>
      <c r="AB25" s="5" t="n"/>
      <c r="AC25" s="5" t="n"/>
      <c r="AD25" s="5" t="n"/>
      <c r="AE25" s="5" t="n"/>
      <c r="AF25" s="6" t="n"/>
      <c r="AG25" s="6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7">
        <f>IF(AQ25="","",AQ25)</f>
        <v/>
      </c>
      <c r="AT25" s="7">
        <f>IF(OR(AQ25="",AI25=""),"",AQ25-AI25)</f>
        <v/>
      </c>
      <c r="AU25" s="8">
        <f>IF(OR(AT25="",AQ25=""),"",AT25/AQ25)</f>
        <v/>
      </c>
      <c r="AV25" s="5" t="n"/>
      <c r="AW25" s="5" t="n"/>
      <c r="AX25" s="5" t="n"/>
      <c r="AY25" s="5" t="n"/>
      <c r="AZ25" s="5" t="n"/>
      <c r="BA25" s="6" t="n"/>
      <c r="BB25" s="5" t="n"/>
      <c r="BC25" s="6" t="n"/>
      <c r="BD25" s="6" t="n"/>
    </row>
    <row r="26">
      <c r="A26" s="5" t="n"/>
      <c r="B26" s="5" t="n"/>
      <c r="C26" s="5" t="n"/>
      <c r="D26" s="5" t="n"/>
      <c r="E26" s="5" t="n"/>
      <c r="F26" s="5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7">
        <f>IF(OR($C26="",T26=""),"",T26-AVERAGEIF($C:$C,$C26,$T:$T))</f>
        <v/>
      </c>
      <c r="W26" s="7">
        <f>IF(OR($C26="",U26=""),"",U26-AVERAGEIF($C:$C,$C26,$U:$U))</f>
        <v/>
      </c>
      <c r="X26" s="5" t="n"/>
      <c r="Y26" s="5" t="n"/>
      <c r="Z26" s="6" t="n"/>
      <c r="AA26" s="5" t="n"/>
      <c r="AB26" s="5" t="n"/>
      <c r="AC26" s="5" t="n"/>
      <c r="AD26" s="5" t="n"/>
      <c r="AE26" s="5" t="n"/>
      <c r="AF26" s="6" t="n"/>
      <c r="AG26" s="6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7">
        <f>IF(AQ26="","",AQ26)</f>
        <v/>
      </c>
      <c r="AT26" s="7">
        <f>IF(OR(AQ26="",AI26=""),"",AQ26-AI26)</f>
        <v/>
      </c>
      <c r="AU26" s="8">
        <f>IF(OR(AT26="",AQ26=""),"",AT26/AQ26)</f>
        <v/>
      </c>
      <c r="AV26" s="5" t="n"/>
      <c r="AW26" s="5" t="n"/>
      <c r="AX26" s="5" t="n"/>
      <c r="AY26" s="5" t="n"/>
      <c r="AZ26" s="5" t="n"/>
      <c r="BA26" s="6" t="n"/>
      <c r="BB26" s="5" t="n"/>
      <c r="BC26" s="6" t="n"/>
      <c r="BD26" s="6" t="n"/>
    </row>
    <row r="27">
      <c r="A27" s="5" t="n"/>
      <c r="B27" s="5" t="n"/>
      <c r="C27" s="5" t="n"/>
      <c r="D27" s="5" t="n"/>
      <c r="E27" s="5" t="n"/>
      <c r="F27" s="5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7">
        <f>IF(OR($C27="",T27=""),"",T27-AVERAGEIF($C:$C,$C27,$T:$T))</f>
        <v/>
      </c>
      <c r="W27" s="7">
        <f>IF(OR($C27="",U27=""),"",U27-AVERAGEIF($C:$C,$C27,$U:$U))</f>
        <v/>
      </c>
      <c r="X27" s="5" t="n"/>
      <c r="Y27" s="5" t="n"/>
      <c r="Z27" s="6" t="n"/>
      <c r="AA27" s="5" t="n"/>
      <c r="AB27" s="5" t="n"/>
      <c r="AC27" s="5" t="n"/>
      <c r="AD27" s="5" t="n"/>
      <c r="AE27" s="5" t="n"/>
      <c r="AF27" s="6" t="n"/>
      <c r="AG27" s="6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7">
        <f>IF(AQ27="","",AQ27)</f>
        <v/>
      </c>
      <c r="AT27" s="7">
        <f>IF(OR(AQ27="",AI27=""),"",AQ27-AI27)</f>
        <v/>
      </c>
      <c r="AU27" s="8">
        <f>IF(OR(AT27="",AQ27=""),"",AT27/AQ27)</f>
        <v/>
      </c>
      <c r="AV27" s="5" t="n"/>
      <c r="AW27" s="5" t="n"/>
      <c r="AX27" s="5" t="n"/>
      <c r="AY27" s="5" t="n"/>
      <c r="AZ27" s="5" t="n"/>
      <c r="BA27" s="6" t="n"/>
      <c r="BB27" s="5" t="n"/>
      <c r="BC27" s="6" t="n"/>
      <c r="BD27" s="6" t="n"/>
    </row>
    <row r="28">
      <c r="A28" s="5" t="n"/>
      <c r="B28" s="5" t="n"/>
      <c r="C28" s="5" t="n"/>
      <c r="D28" s="5" t="n"/>
      <c r="E28" s="5" t="n"/>
      <c r="F28" s="5" t="n"/>
      <c r="G28" s="6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7">
        <f>IF(OR($C28="",T28=""),"",T28-AVERAGEIF($C:$C,$C28,$T:$T))</f>
        <v/>
      </c>
      <c r="W28" s="7">
        <f>IF(OR($C28="",U28=""),"",U28-AVERAGEIF($C:$C,$C28,$U:$U))</f>
        <v/>
      </c>
      <c r="X28" s="5" t="n"/>
      <c r="Y28" s="5" t="n"/>
      <c r="Z28" s="6" t="n"/>
      <c r="AA28" s="5" t="n"/>
      <c r="AB28" s="5" t="n"/>
      <c r="AC28" s="5" t="n"/>
      <c r="AD28" s="5" t="n"/>
      <c r="AE28" s="5" t="n"/>
      <c r="AF28" s="6" t="n"/>
      <c r="AG28" s="6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7">
        <f>IF(AQ28="","",AQ28)</f>
        <v/>
      </c>
      <c r="AT28" s="7">
        <f>IF(OR(AQ28="",AI28=""),"",AQ28-AI28)</f>
        <v/>
      </c>
      <c r="AU28" s="8">
        <f>IF(OR(AT28="",AQ28=""),"",AT28/AQ28)</f>
        <v/>
      </c>
      <c r="AV28" s="5" t="n"/>
      <c r="AW28" s="5" t="n"/>
      <c r="AX28" s="5" t="n"/>
      <c r="AY28" s="5" t="n"/>
      <c r="AZ28" s="5" t="n"/>
      <c r="BA28" s="6" t="n"/>
      <c r="BB28" s="5" t="n"/>
      <c r="BC28" s="6" t="n"/>
      <c r="BD28" s="6" t="n"/>
    </row>
    <row r="29">
      <c r="A29" s="5" t="n"/>
      <c r="B29" s="5" t="n"/>
      <c r="C29" s="5" t="n"/>
      <c r="D29" s="5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7">
        <f>IF(OR($C29="",T29=""),"",T29-AVERAGEIF($C:$C,$C29,$T:$T))</f>
        <v/>
      </c>
      <c r="W29" s="7">
        <f>IF(OR($C29="",U29=""),"",U29-AVERAGEIF($C:$C,$C29,$U:$U))</f>
        <v/>
      </c>
      <c r="X29" s="5" t="n"/>
      <c r="Y29" s="5" t="n"/>
      <c r="Z29" s="6" t="n"/>
      <c r="AA29" s="5" t="n"/>
      <c r="AB29" s="5" t="n"/>
      <c r="AC29" s="5" t="n"/>
      <c r="AD29" s="5" t="n"/>
      <c r="AE29" s="5" t="n"/>
      <c r="AF29" s="6" t="n"/>
      <c r="AG29" s="6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7">
        <f>IF(AQ29="","",AQ29)</f>
        <v/>
      </c>
      <c r="AT29" s="7">
        <f>IF(OR(AQ29="",AI29=""),"",AQ29-AI29)</f>
        <v/>
      </c>
      <c r="AU29" s="8">
        <f>IF(OR(AT29="",AQ29=""),"",AT29/AQ29)</f>
        <v/>
      </c>
      <c r="AV29" s="5" t="n"/>
      <c r="AW29" s="5" t="n"/>
      <c r="AX29" s="5" t="n"/>
      <c r="AY29" s="5" t="n"/>
      <c r="AZ29" s="5" t="n"/>
      <c r="BA29" s="6" t="n"/>
      <c r="BB29" s="5" t="n"/>
      <c r="BC29" s="6" t="n"/>
      <c r="BD29" s="6" t="n"/>
    </row>
    <row r="30">
      <c r="A30" s="5" t="n"/>
      <c r="B30" s="5" t="n"/>
      <c r="C30" s="5" t="n"/>
      <c r="D30" s="5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7">
        <f>IF(OR($C30="",T30=""),"",T30-AVERAGEIF($C:$C,$C30,$T:$T))</f>
        <v/>
      </c>
      <c r="W30" s="7">
        <f>IF(OR($C30="",U30=""),"",U30-AVERAGEIF($C:$C,$C30,$U:$U))</f>
        <v/>
      </c>
      <c r="X30" s="5" t="n"/>
      <c r="Y30" s="5" t="n"/>
      <c r="Z30" s="6" t="n"/>
      <c r="AA30" s="5" t="n"/>
      <c r="AB30" s="5" t="n"/>
      <c r="AC30" s="5" t="n"/>
      <c r="AD30" s="5" t="n"/>
      <c r="AE30" s="5" t="n"/>
      <c r="AF30" s="6" t="n"/>
      <c r="AG30" s="6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7">
        <f>IF(AQ30="","",AQ30)</f>
        <v/>
      </c>
      <c r="AT30" s="7">
        <f>IF(OR(AQ30="",AI30=""),"",AQ30-AI30)</f>
        <v/>
      </c>
      <c r="AU30" s="8">
        <f>IF(OR(AT30="",AQ30=""),"",AT30/AQ30)</f>
        <v/>
      </c>
      <c r="AV30" s="5" t="n"/>
      <c r="AW30" s="5" t="n"/>
      <c r="AX30" s="5" t="n"/>
      <c r="AY30" s="5" t="n"/>
      <c r="AZ30" s="5" t="n"/>
      <c r="BA30" s="6" t="n"/>
      <c r="BB30" s="5" t="n"/>
      <c r="BC30" s="6" t="n"/>
      <c r="BD30" s="6" t="n"/>
    </row>
    <row r="31">
      <c r="A31" s="5" t="n"/>
      <c r="B31" s="5" t="n"/>
      <c r="C31" s="5" t="n"/>
      <c r="D31" s="5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7">
        <f>IF(OR($C31="",T31=""),"",T31-AVERAGEIF($C:$C,$C31,$T:$T))</f>
        <v/>
      </c>
      <c r="W31" s="7">
        <f>IF(OR($C31="",U31=""),"",U31-AVERAGEIF($C:$C,$C31,$U:$U))</f>
        <v/>
      </c>
      <c r="X31" s="5" t="n"/>
      <c r="Y31" s="5" t="n"/>
      <c r="Z31" s="6" t="n"/>
      <c r="AA31" s="5" t="n"/>
      <c r="AB31" s="5" t="n"/>
      <c r="AC31" s="5" t="n"/>
      <c r="AD31" s="5" t="n"/>
      <c r="AE31" s="5" t="n"/>
      <c r="AF31" s="6" t="n"/>
      <c r="AG31" s="6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7">
        <f>IF(AQ31="","",AQ31)</f>
        <v/>
      </c>
      <c r="AT31" s="7">
        <f>IF(OR(AQ31="",AI31=""),"",AQ31-AI31)</f>
        <v/>
      </c>
      <c r="AU31" s="8">
        <f>IF(OR(AT31="",AQ31=""),"",AT31/AQ31)</f>
        <v/>
      </c>
      <c r="AV31" s="5" t="n"/>
      <c r="AW31" s="5" t="n"/>
      <c r="AX31" s="5" t="n"/>
      <c r="AY31" s="5" t="n"/>
      <c r="AZ31" s="5" t="n"/>
      <c r="BA31" s="6" t="n"/>
      <c r="BB31" s="5" t="n"/>
      <c r="BC31" s="6" t="n"/>
      <c r="BD31" s="6" t="n"/>
    </row>
    <row r="32">
      <c r="A32" s="5" t="n"/>
      <c r="B32" s="5" t="n"/>
      <c r="C32" s="5" t="n"/>
      <c r="D32" s="5" t="n"/>
      <c r="E32" s="5" t="n"/>
      <c r="F32" s="5" t="n"/>
      <c r="G32" s="6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7">
        <f>IF(OR($C32="",T32=""),"",T32-AVERAGEIF($C:$C,$C32,$T:$T))</f>
        <v/>
      </c>
      <c r="W32" s="7">
        <f>IF(OR($C32="",U32=""),"",U32-AVERAGEIF($C:$C,$C32,$U:$U))</f>
        <v/>
      </c>
      <c r="X32" s="5" t="n"/>
      <c r="Y32" s="5" t="n"/>
      <c r="Z32" s="6" t="n"/>
      <c r="AA32" s="5" t="n"/>
      <c r="AB32" s="5" t="n"/>
      <c r="AC32" s="5" t="n"/>
      <c r="AD32" s="5" t="n"/>
      <c r="AE32" s="5" t="n"/>
      <c r="AF32" s="6" t="n"/>
      <c r="AG32" s="6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7">
        <f>IF(AQ32="","",AQ32)</f>
        <v/>
      </c>
      <c r="AT32" s="7">
        <f>IF(OR(AQ32="",AI32=""),"",AQ32-AI32)</f>
        <v/>
      </c>
      <c r="AU32" s="8">
        <f>IF(OR(AT32="",AQ32=""),"",AT32/AQ32)</f>
        <v/>
      </c>
      <c r="AV32" s="5" t="n"/>
      <c r="AW32" s="5" t="n"/>
      <c r="AX32" s="5" t="n"/>
      <c r="AY32" s="5" t="n"/>
      <c r="AZ32" s="5" t="n"/>
      <c r="BA32" s="6" t="n"/>
      <c r="BB32" s="5" t="n"/>
      <c r="BC32" s="6" t="n"/>
      <c r="BD32" s="6" t="n"/>
    </row>
    <row r="33">
      <c r="A33" s="5" t="n"/>
      <c r="B33" s="5" t="n"/>
      <c r="C33" s="5" t="n"/>
      <c r="D33" s="5" t="n"/>
      <c r="E33" s="5" t="n"/>
      <c r="F33" s="5" t="n"/>
      <c r="G33" s="6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7">
        <f>IF(OR($C33="",T33=""),"",T33-AVERAGEIF($C:$C,$C33,$T:$T))</f>
        <v/>
      </c>
      <c r="W33" s="7">
        <f>IF(OR($C33="",U33=""),"",U33-AVERAGEIF($C:$C,$C33,$U:$U))</f>
        <v/>
      </c>
      <c r="X33" s="5" t="n"/>
      <c r="Y33" s="5" t="n"/>
      <c r="Z33" s="6" t="n"/>
      <c r="AA33" s="5" t="n"/>
      <c r="AB33" s="5" t="n"/>
      <c r="AC33" s="5" t="n"/>
      <c r="AD33" s="5" t="n"/>
      <c r="AE33" s="5" t="n"/>
      <c r="AF33" s="6" t="n"/>
      <c r="AG33" s="6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7">
        <f>IF(AQ33="","",AQ33)</f>
        <v/>
      </c>
      <c r="AT33" s="7">
        <f>IF(OR(AQ33="",AI33=""),"",AQ33-AI33)</f>
        <v/>
      </c>
      <c r="AU33" s="8">
        <f>IF(OR(AT33="",AQ33=""),"",AT33/AQ33)</f>
        <v/>
      </c>
      <c r="AV33" s="5" t="n"/>
      <c r="AW33" s="5" t="n"/>
      <c r="AX33" s="5" t="n"/>
      <c r="AY33" s="5" t="n"/>
      <c r="AZ33" s="5" t="n"/>
      <c r="BA33" s="6" t="n"/>
      <c r="BB33" s="5" t="n"/>
      <c r="BC33" s="6" t="n"/>
      <c r="BD33" s="6" t="n"/>
    </row>
    <row r="34">
      <c r="A34" s="5" t="n"/>
      <c r="B34" s="5" t="n"/>
      <c r="C34" s="5" t="n"/>
      <c r="D34" s="5" t="n"/>
      <c r="E34" s="5" t="n"/>
      <c r="F34" s="5" t="n"/>
      <c r="G34" s="6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7">
        <f>IF(OR($C34="",T34=""),"",T34-AVERAGEIF($C:$C,$C34,$T:$T))</f>
        <v/>
      </c>
      <c r="W34" s="7">
        <f>IF(OR($C34="",U34=""),"",U34-AVERAGEIF($C:$C,$C34,$U:$U))</f>
        <v/>
      </c>
      <c r="X34" s="5" t="n"/>
      <c r="Y34" s="5" t="n"/>
      <c r="Z34" s="6" t="n"/>
      <c r="AA34" s="5" t="n"/>
      <c r="AB34" s="5" t="n"/>
      <c r="AC34" s="5" t="n"/>
      <c r="AD34" s="5" t="n"/>
      <c r="AE34" s="5" t="n"/>
      <c r="AF34" s="6" t="n"/>
      <c r="AG34" s="6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7">
        <f>IF(AQ34="","",AQ34)</f>
        <v/>
      </c>
      <c r="AT34" s="7">
        <f>IF(OR(AQ34="",AI34=""),"",AQ34-AI34)</f>
        <v/>
      </c>
      <c r="AU34" s="8">
        <f>IF(OR(AT34="",AQ34=""),"",AT34/AQ34)</f>
        <v/>
      </c>
      <c r="AV34" s="5" t="n"/>
      <c r="AW34" s="5" t="n"/>
      <c r="AX34" s="5" t="n"/>
      <c r="AY34" s="5" t="n"/>
      <c r="AZ34" s="5" t="n"/>
      <c r="BA34" s="6" t="n"/>
      <c r="BB34" s="5" t="n"/>
      <c r="BC34" s="6" t="n"/>
      <c r="BD34" s="6" t="n"/>
    </row>
    <row r="35">
      <c r="A35" s="5" t="n"/>
      <c r="B35" s="5" t="n"/>
      <c r="C35" s="5" t="n"/>
      <c r="D35" s="5" t="n"/>
      <c r="E35" s="5" t="n"/>
      <c r="F35" s="5" t="n"/>
      <c r="G35" s="6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7">
        <f>IF(OR($C35="",T35=""),"",T35-AVERAGEIF($C:$C,$C35,$T:$T))</f>
        <v/>
      </c>
      <c r="W35" s="7">
        <f>IF(OR($C35="",U35=""),"",U35-AVERAGEIF($C:$C,$C35,$U:$U))</f>
        <v/>
      </c>
      <c r="X35" s="5" t="n"/>
      <c r="Y35" s="5" t="n"/>
      <c r="Z35" s="6" t="n"/>
      <c r="AA35" s="5" t="n"/>
      <c r="AB35" s="5" t="n"/>
      <c r="AC35" s="5" t="n"/>
      <c r="AD35" s="5" t="n"/>
      <c r="AE35" s="5" t="n"/>
      <c r="AF35" s="6" t="n"/>
      <c r="AG35" s="6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7">
        <f>IF(AQ35="","",AQ35)</f>
        <v/>
      </c>
      <c r="AT35" s="7">
        <f>IF(OR(AQ35="",AI35=""),"",AQ35-AI35)</f>
        <v/>
      </c>
      <c r="AU35" s="8">
        <f>IF(OR(AT35="",AQ35=""),"",AT35/AQ35)</f>
        <v/>
      </c>
      <c r="AV35" s="5" t="n"/>
      <c r="AW35" s="5" t="n"/>
      <c r="AX35" s="5" t="n"/>
      <c r="AY35" s="5" t="n"/>
      <c r="AZ35" s="5" t="n"/>
      <c r="BA35" s="6" t="n"/>
      <c r="BB35" s="5" t="n"/>
      <c r="BC35" s="6" t="n"/>
      <c r="BD35" s="6" t="n"/>
    </row>
    <row r="36">
      <c r="A36" s="5" t="n"/>
      <c r="B36" s="5" t="n"/>
      <c r="C36" s="5" t="n"/>
      <c r="D36" s="5" t="n"/>
      <c r="E36" s="5" t="n"/>
      <c r="F36" s="5" t="n"/>
      <c r="G36" s="6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7">
        <f>IF(OR($C36="",T36=""),"",T36-AVERAGEIF($C:$C,$C36,$T:$T))</f>
        <v/>
      </c>
      <c r="W36" s="7">
        <f>IF(OR($C36="",U36=""),"",U36-AVERAGEIF($C:$C,$C36,$U:$U))</f>
        <v/>
      </c>
      <c r="X36" s="5" t="n"/>
      <c r="Y36" s="5" t="n"/>
      <c r="Z36" s="6" t="n"/>
      <c r="AA36" s="5" t="n"/>
      <c r="AB36" s="5" t="n"/>
      <c r="AC36" s="5" t="n"/>
      <c r="AD36" s="5" t="n"/>
      <c r="AE36" s="5" t="n"/>
      <c r="AF36" s="6" t="n"/>
      <c r="AG36" s="6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7">
        <f>IF(AQ36="","",AQ36)</f>
        <v/>
      </c>
      <c r="AT36" s="7">
        <f>IF(OR(AQ36="",AI36=""),"",AQ36-AI36)</f>
        <v/>
      </c>
      <c r="AU36" s="8">
        <f>IF(OR(AT36="",AQ36=""),"",AT36/AQ36)</f>
        <v/>
      </c>
      <c r="AV36" s="5" t="n"/>
      <c r="AW36" s="5" t="n"/>
      <c r="AX36" s="5" t="n"/>
      <c r="AY36" s="5" t="n"/>
      <c r="AZ36" s="5" t="n"/>
      <c r="BA36" s="6" t="n"/>
      <c r="BB36" s="5" t="n"/>
      <c r="BC36" s="6" t="n"/>
      <c r="BD36" s="6" t="n"/>
    </row>
    <row r="37">
      <c r="A37" s="5" t="n"/>
      <c r="B37" s="5" t="n"/>
      <c r="C37" s="5" t="n"/>
      <c r="D37" s="5" t="n"/>
      <c r="E37" s="5" t="n"/>
      <c r="F37" s="5" t="n"/>
      <c r="G37" s="6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7">
        <f>IF(OR($C37="",T37=""),"",T37-AVERAGEIF($C:$C,$C37,$T:$T))</f>
        <v/>
      </c>
      <c r="W37" s="7">
        <f>IF(OR($C37="",U37=""),"",U37-AVERAGEIF($C:$C,$C37,$U:$U))</f>
        <v/>
      </c>
      <c r="X37" s="5" t="n"/>
      <c r="Y37" s="5" t="n"/>
      <c r="Z37" s="6" t="n"/>
      <c r="AA37" s="5" t="n"/>
      <c r="AB37" s="5" t="n"/>
      <c r="AC37" s="5" t="n"/>
      <c r="AD37" s="5" t="n"/>
      <c r="AE37" s="5" t="n"/>
      <c r="AF37" s="6" t="n"/>
      <c r="AG37" s="6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7">
        <f>IF(AQ37="","",AQ37)</f>
        <v/>
      </c>
      <c r="AT37" s="7">
        <f>IF(OR(AQ37="",AI37=""),"",AQ37-AI37)</f>
        <v/>
      </c>
      <c r="AU37" s="8">
        <f>IF(OR(AT37="",AQ37=""),"",AT37/AQ37)</f>
        <v/>
      </c>
      <c r="AV37" s="5" t="n"/>
      <c r="AW37" s="5" t="n"/>
      <c r="AX37" s="5" t="n"/>
      <c r="AY37" s="5" t="n"/>
      <c r="AZ37" s="5" t="n"/>
      <c r="BA37" s="6" t="n"/>
      <c r="BB37" s="5" t="n"/>
      <c r="BC37" s="6" t="n"/>
      <c r="BD37" s="6" t="n"/>
    </row>
    <row r="38">
      <c r="A38" s="5" t="n"/>
      <c r="B38" s="5" t="n"/>
      <c r="C38" s="5" t="n"/>
      <c r="D38" s="5" t="n"/>
      <c r="E38" s="5" t="n"/>
      <c r="F38" s="5" t="n"/>
      <c r="G38" s="6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7">
        <f>IF(OR($C38="",T38=""),"",T38-AVERAGEIF($C:$C,$C38,$T:$T))</f>
        <v/>
      </c>
      <c r="W38" s="7">
        <f>IF(OR($C38="",U38=""),"",U38-AVERAGEIF($C:$C,$C38,$U:$U))</f>
        <v/>
      </c>
      <c r="X38" s="5" t="n"/>
      <c r="Y38" s="5" t="n"/>
      <c r="Z38" s="6" t="n"/>
      <c r="AA38" s="5" t="n"/>
      <c r="AB38" s="5" t="n"/>
      <c r="AC38" s="5" t="n"/>
      <c r="AD38" s="5" t="n"/>
      <c r="AE38" s="5" t="n"/>
      <c r="AF38" s="6" t="n"/>
      <c r="AG38" s="6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7">
        <f>IF(AQ38="","",AQ38)</f>
        <v/>
      </c>
      <c r="AT38" s="7">
        <f>IF(OR(AQ38="",AI38=""),"",AQ38-AI38)</f>
        <v/>
      </c>
      <c r="AU38" s="8">
        <f>IF(OR(AT38="",AQ38=""),"",AT38/AQ38)</f>
        <v/>
      </c>
      <c r="AV38" s="5" t="n"/>
      <c r="AW38" s="5" t="n"/>
      <c r="AX38" s="5" t="n"/>
      <c r="AY38" s="5" t="n"/>
      <c r="AZ38" s="5" t="n"/>
      <c r="BA38" s="6" t="n"/>
      <c r="BB38" s="5" t="n"/>
      <c r="BC38" s="6" t="n"/>
      <c r="BD38" s="6" t="n"/>
    </row>
    <row r="39">
      <c r="A39" s="5" t="n"/>
      <c r="B39" s="5" t="n"/>
      <c r="C39" s="5" t="n"/>
      <c r="D39" s="5" t="n"/>
      <c r="E39" s="5" t="n"/>
      <c r="F39" s="5" t="n"/>
      <c r="G39" s="6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7">
        <f>IF(OR($C39="",T39=""),"",T39-AVERAGEIF($C:$C,$C39,$T:$T))</f>
        <v/>
      </c>
      <c r="W39" s="7">
        <f>IF(OR($C39="",U39=""),"",U39-AVERAGEIF($C:$C,$C39,$U:$U))</f>
        <v/>
      </c>
      <c r="X39" s="5" t="n"/>
      <c r="Y39" s="5" t="n"/>
      <c r="Z39" s="6" t="n"/>
      <c r="AA39" s="5" t="n"/>
      <c r="AB39" s="5" t="n"/>
      <c r="AC39" s="5" t="n"/>
      <c r="AD39" s="5" t="n"/>
      <c r="AE39" s="5" t="n"/>
      <c r="AF39" s="6" t="n"/>
      <c r="AG39" s="6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7">
        <f>IF(AQ39="","",AQ39)</f>
        <v/>
      </c>
      <c r="AT39" s="7">
        <f>IF(OR(AQ39="",AI39=""),"",AQ39-AI39)</f>
        <v/>
      </c>
      <c r="AU39" s="8">
        <f>IF(OR(AT39="",AQ39=""),"",AT39/AQ39)</f>
        <v/>
      </c>
      <c r="AV39" s="5" t="n"/>
      <c r="AW39" s="5" t="n"/>
      <c r="AX39" s="5" t="n"/>
      <c r="AY39" s="5" t="n"/>
      <c r="AZ39" s="5" t="n"/>
      <c r="BA39" s="6" t="n"/>
      <c r="BB39" s="5" t="n"/>
      <c r="BC39" s="6" t="n"/>
      <c r="BD39" s="6" t="n"/>
    </row>
    <row r="40">
      <c r="A40" s="5" t="n"/>
      <c r="B40" s="5" t="n"/>
      <c r="C40" s="5" t="n"/>
      <c r="D40" s="5" t="n"/>
      <c r="E40" s="5" t="n"/>
      <c r="F40" s="5" t="n"/>
      <c r="G40" s="6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7">
        <f>IF(OR($C40="",T40=""),"",T40-AVERAGEIF($C:$C,$C40,$T:$T))</f>
        <v/>
      </c>
      <c r="W40" s="7">
        <f>IF(OR($C40="",U40=""),"",U40-AVERAGEIF($C:$C,$C40,$U:$U))</f>
        <v/>
      </c>
      <c r="X40" s="5" t="n"/>
      <c r="Y40" s="5" t="n"/>
      <c r="Z40" s="6" t="n"/>
      <c r="AA40" s="5" t="n"/>
      <c r="AB40" s="5" t="n"/>
      <c r="AC40" s="5" t="n"/>
      <c r="AD40" s="5" t="n"/>
      <c r="AE40" s="5" t="n"/>
      <c r="AF40" s="6" t="n"/>
      <c r="AG40" s="6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7">
        <f>IF(AQ40="","",AQ40)</f>
        <v/>
      </c>
      <c r="AT40" s="7">
        <f>IF(OR(AQ40="",AI40=""),"",AQ40-AI40)</f>
        <v/>
      </c>
      <c r="AU40" s="8">
        <f>IF(OR(AT40="",AQ40=""),"",AT40/AQ40)</f>
        <v/>
      </c>
      <c r="AV40" s="5" t="n"/>
      <c r="AW40" s="5" t="n"/>
      <c r="AX40" s="5" t="n"/>
      <c r="AY40" s="5" t="n"/>
      <c r="AZ40" s="5" t="n"/>
      <c r="BA40" s="6" t="n"/>
      <c r="BB40" s="5" t="n"/>
      <c r="BC40" s="6" t="n"/>
      <c r="BD40" s="6" t="n"/>
    </row>
    <row r="41">
      <c r="A41" s="5" t="n"/>
      <c r="B41" s="5" t="n"/>
      <c r="C41" s="5" t="n"/>
      <c r="D41" s="5" t="n"/>
      <c r="E41" s="5" t="n"/>
      <c r="F41" s="5" t="n"/>
      <c r="G41" s="6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7">
        <f>IF(OR($C41="",T41=""),"",T41-AVERAGEIF($C:$C,$C41,$T:$T))</f>
        <v/>
      </c>
      <c r="W41" s="7">
        <f>IF(OR($C41="",U41=""),"",U41-AVERAGEIF($C:$C,$C41,$U:$U))</f>
        <v/>
      </c>
      <c r="X41" s="5" t="n"/>
      <c r="Y41" s="5" t="n"/>
      <c r="Z41" s="6" t="n"/>
      <c r="AA41" s="5" t="n"/>
      <c r="AB41" s="5" t="n"/>
      <c r="AC41" s="5" t="n"/>
      <c r="AD41" s="5" t="n"/>
      <c r="AE41" s="5" t="n"/>
      <c r="AF41" s="6" t="n"/>
      <c r="AG41" s="6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7">
        <f>IF(AQ41="","",AQ41)</f>
        <v/>
      </c>
      <c r="AT41" s="7">
        <f>IF(OR(AQ41="",AI41=""),"",AQ41-AI41)</f>
        <v/>
      </c>
      <c r="AU41" s="8">
        <f>IF(OR(AT41="",AQ41=""),"",AT41/AQ41)</f>
        <v/>
      </c>
      <c r="AV41" s="5" t="n"/>
      <c r="AW41" s="5" t="n"/>
      <c r="AX41" s="5" t="n"/>
      <c r="AY41" s="5" t="n"/>
      <c r="AZ41" s="5" t="n"/>
      <c r="BA41" s="6" t="n"/>
      <c r="BB41" s="5" t="n"/>
      <c r="BC41" s="6" t="n"/>
      <c r="BD41" s="6" t="n"/>
    </row>
    <row r="42">
      <c r="A42" s="5" t="n"/>
      <c r="B42" s="5" t="n"/>
      <c r="C42" s="5" t="n"/>
      <c r="D42" s="5" t="n"/>
      <c r="E42" s="5" t="n"/>
      <c r="F42" s="5" t="n"/>
      <c r="G42" s="6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7">
        <f>IF(OR($C42="",T42=""),"",T42-AVERAGEIF($C:$C,$C42,$T:$T))</f>
        <v/>
      </c>
      <c r="W42" s="7">
        <f>IF(OR($C42="",U42=""),"",U42-AVERAGEIF($C:$C,$C42,$U:$U))</f>
        <v/>
      </c>
      <c r="X42" s="5" t="n"/>
      <c r="Y42" s="5" t="n"/>
      <c r="Z42" s="6" t="n"/>
      <c r="AA42" s="5" t="n"/>
      <c r="AB42" s="5" t="n"/>
      <c r="AC42" s="5" t="n"/>
      <c r="AD42" s="5" t="n"/>
      <c r="AE42" s="5" t="n"/>
      <c r="AF42" s="6" t="n"/>
      <c r="AG42" s="6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7">
        <f>IF(AQ42="","",AQ42)</f>
        <v/>
      </c>
      <c r="AT42" s="7">
        <f>IF(OR(AQ42="",AI42=""),"",AQ42-AI42)</f>
        <v/>
      </c>
      <c r="AU42" s="8">
        <f>IF(OR(AT42="",AQ42=""),"",AT42/AQ42)</f>
        <v/>
      </c>
      <c r="AV42" s="5" t="n"/>
      <c r="AW42" s="5" t="n"/>
      <c r="AX42" s="5" t="n"/>
      <c r="AY42" s="5" t="n"/>
      <c r="AZ42" s="5" t="n"/>
      <c r="BA42" s="6" t="n"/>
      <c r="BB42" s="5" t="n"/>
      <c r="BC42" s="6" t="n"/>
      <c r="BD42" s="6" t="n"/>
    </row>
    <row r="43">
      <c r="A43" s="5" t="n"/>
      <c r="B43" s="5" t="n"/>
      <c r="C43" s="5" t="n"/>
      <c r="D43" s="5" t="n"/>
      <c r="E43" s="5" t="n"/>
      <c r="F43" s="5" t="n"/>
      <c r="G43" s="6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7">
        <f>IF(OR($C43="",T43=""),"",T43-AVERAGEIF($C:$C,$C43,$T:$T))</f>
        <v/>
      </c>
      <c r="W43" s="7">
        <f>IF(OR($C43="",U43=""),"",U43-AVERAGEIF($C:$C,$C43,$U:$U))</f>
        <v/>
      </c>
      <c r="X43" s="5" t="n"/>
      <c r="Y43" s="5" t="n"/>
      <c r="Z43" s="6" t="n"/>
      <c r="AA43" s="5" t="n"/>
      <c r="AB43" s="5" t="n"/>
      <c r="AC43" s="5" t="n"/>
      <c r="AD43" s="5" t="n"/>
      <c r="AE43" s="5" t="n"/>
      <c r="AF43" s="6" t="n"/>
      <c r="AG43" s="6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7">
        <f>IF(AQ43="","",AQ43)</f>
        <v/>
      </c>
      <c r="AT43" s="7">
        <f>IF(OR(AQ43="",AI43=""),"",AQ43-AI43)</f>
        <v/>
      </c>
      <c r="AU43" s="8">
        <f>IF(OR(AT43="",AQ43=""),"",AT43/AQ43)</f>
        <v/>
      </c>
      <c r="AV43" s="5" t="n"/>
      <c r="AW43" s="5" t="n"/>
      <c r="AX43" s="5" t="n"/>
      <c r="AY43" s="5" t="n"/>
      <c r="AZ43" s="5" t="n"/>
      <c r="BA43" s="6" t="n"/>
      <c r="BB43" s="5" t="n"/>
      <c r="BC43" s="6" t="n"/>
      <c r="BD43" s="6" t="n"/>
    </row>
    <row r="44">
      <c r="A44" s="5" t="n"/>
      <c r="B44" s="5" t="n"/>
      <c r="C44" s="5" t="n"/>
      <c r="D44" s="5" t="n"/>
      <c r="E44" s="5" t="n"/>
      <c r="F44" s="5" t="n"/>
      <c r="G44" s="6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7">
        <f>IF(OR($C44="",T44=""),"",T44-AVERAGEIF($C:$C,$C44,$T:$T))</f>
        <v/>
      </c>
      <c r="W44" s="7">
        <f>IF(OR($C44="",U44=""),"",U44-AVERAGEIF($C:$C,$C44,$U:$U))</f>
        <v/>
      </c>
      <c r="X44" s="5" t="n"/>
      <c r="Y44" s="5" t="n"/>
      <c r="Z44" s="6" t="n"/>
      <c r="AA44" s="5" t="n"/>
      <c r="AB44" s="5" t="n"/>
      <c r="AC44" s="5" t="n"/>
      <c r="AD44" s="5" t="n"/>
      <c r="AE44" s="5" t="n"/>
      <c r="AF44" s="6" t="n"/>
      <c r="AG44" s="6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7">
        <f>IF(AQ44="","",AQ44)</f>
        <v/>
      </c>
      <c r="AT44" s="7">
        <f>IF(OR(AQ44="",AI44=""),"",AQ44-AI44)</f>
        <v/>
      </c>
      <c r="AU44" s="8">
        <f>IF(OR(AT44="",AQ44=""),"",AT44/AQ44)</f>
        <v/>
      </c>
      <c r="AV44" s="5" t="n"/>
      <c r="AW44" s="5" t="n"/>
      <c r="AX44" s="5" t="n"/>
      <c r="AY44" s="5" t="n"/>
      <c r="AZ44" s="5" t="n"/>
      <c r="BA44" s="6" t="n"/>
      <c r="BB44" s="5" t="n"/>
      <c r="BC44" s="6" t="n"/>
      <c r="BD44" s="6" t="n"/>
    </row>
    <row r="45">
      <c r="A45" s="5" t="n"/>
      <c r="B45" s="5" t="n"/>
      <c r="C45" s="5" t="n"/>
      <c r="D45" s="5" t="n"/>
      <c r="E45" s="5" t="n"/>
      <c r="F45" s="5" t="n"/>
      <c r="G45" s="6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7">
        <f>IF(OR($C45="",T45=""),"",T45-AVERAGEIF($C:$C,$C45,$T:$T))</f>
        <v/>
      </c>
      <c r="W45" s="7">
        <f>IF(OR($C45="",U45=""),"",U45-AVERAGEIF($C:$C,$C45,$U:$U))</f>
        <v/>
      </c>
      <c r="X45" s="5" t="n"/>
      <c r="Y45" s="5" t="n"/>
      <c r="Z45" s="6" t="n"/>
      <c r="AA45" s="5" t="n"/>
      <c r="AB45" s="5" t="n"/>
      <c r="AC45" s="5" t="n"/>
      <c r="AD45" s="5" t="n"/>
      <c r="AE45" s="5" t="n"/>
      <c r="AF45" s="6" t="n"/>
      <c r="AG45" s="6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7">
        <f>IF(AQ45="","",AQ45)</f>
        <v/>
      </c>
      <c r="AT45" s="7">
        <f>IF(OR(AQ45="",AI45=""),"",AQ45-AI45)</f>
        <v/>
      </c>
      <c r="AU45" s="8">
        <f>IF(OR(AT45="",AQ45=""),"",AT45/AQ45)</f>
        <v/>
      </c>
      <c r="AV45" s="5" t="n"/>
      <c r="AW45" s="5" t="n"/>
      <c r="AX45" s="5" t="n"/>
      <c r="AY45" s="5" t="n"/>
      <c r="AZ45" s="5" t="n"/>
      <c r="BA45" s="6" t="n"/>
      <c r="BB45" s="5" t="n"/>
      <c r="BC45" s="6" t="n"/>
      <c r="BD45" s="6" t="n"/>
    </row>
    <row r="46">
      <c r="A46" s="5" t="n"/>
      <c r="B46" s="5" t="n"/>
      <c r="C46" s="5" t="n"/>
      <c r="D46" s="5" t="n"/>
      <c r="E46" s="5" t="n"/>
      <c r="F46" s="5" t="n"/>
      <c r="G46" s="6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7">
        <f>IF(OR($C46="",T46=""),"",T46-AVERAGEIF($C:$C,$C46,$T:$T))</f>
        <v/>
      </c>
      <c r="W46" s="7">
        <f>IF(OR($C46="",U46=""),"",U46-AVERAGEIF($C:$C,$C46,$U:$U))</f>
        <v/>
      </c>
      <c r="X46" s="5" t="n"/>
      <c r="Y46" s="5" t="n"/>
      <c r="Z46" s="6" t="n"/>
      <c r="AA46" s="5" t="n"/>
      <c r="AB46" s="5" t="n"/>
      <c r="AC46" s="5" t="n"/>
      <c r="AD46" s="5" t="n"/>
      <c r="AE46" s="5" t="n"/>
      <c r="AF46" s="6" t="n"/>
      <c r="AG46" s="6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7">
        <f>IF(AQ46="","",AQ46)</f>
        <v/>
      </c>
      <c r="AT46" s="7">
        <f>IF(OR(AQ46="",AI46=""),"",AQ46-AI46)</f>
        <v/>
      </c>
      <c r="AU46" s="8">
        <f>IF(OR(AT46="",AQ46=""),"",AT46/AQ46)</f>
        <v/>
      </c>
      <c r="AV46" s="5" t="n"/>
      <c r="AW46" s="5" t="n"/>
      <c r="AX46" s="5" t="n"/>
      <c r="AY46" s="5" t="n"/>
      <c r="AZ46" s="5" t="n"/>
      <c r="BA46" s="6" t="n"/>
      <c r="BB46" s="5" t="n"/>
      <c r="BC46" s="6" t="n"/>
      <c r="BD46" s="6" t="n"/>
    </row>
    <row r="47">
      <c r="A47" s="5" t="n"/>
      <c r="B47" s="5" t="n"/>
      <c r="C47" s="5" t="n"/>
      <c r="D47" s="5" t="n"/>
      <c r="E47" s="5" t="n"/>
      <c r="F47" s="5" t="n"/>
      <c r="G47" s="6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7">
        <f>IF(OR($C47="",T47=""),"",T47-AVERAGEIF($C:$C,$C47,$T:$T))</f>
        <v/>
      </c>
      <c r="W47" s="7">
        <f>IF(OR($C47="",U47=""),"",U47-AVERAGEIF($C:$C,$C47,$U:$U))</f>
        <v/>
      </c>
      <c r="X47" s="5" t="n"/>
      <c r="Y47" s="5" t="n"/>
      <c r="Z47" s="6" t="n"/>
      <c r="AA47" s="5" t="n"/>
      <c r="AB47" s="5" t="n"/>
      <c r="AC47" s="5" t="n"/>
      <c r="AD47" s="5" t="n"/>
      <c r="AE47" s="5" t="n"/>
      <c r="AF47" s="6" t="n"/>
      <c r="AG47" s="6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7">
        <f>IF(AQ47="","",AQ47)</f>
        <v/>
      </c>
      <c r="AT47" s="7">
        <f>IF(OR(AQ47="",AI47=""),"",AQ47-AI47)</f>
        <v/>
      </c>
      <c r="AU47" s="8">
        <f>IF(OR(AT47="",AQ47=""),"",AT47/AQ47)</f>
        <v/>
      </c>
      <c r="AV47" s="5" t="n"/>
      <c r="AW47" s="5" t="n"/>
      <c r="AX47" s="5" t="n"/>
      <c r="AY47" s="5" t="n"/>
      <c r="AZ47" s="5" t="n"/>
      <c r="BA47" s="6" t="n"/>
      <c r="BB47" s="5" t="n"/>
      <c r="BC47" s="6" t="n"/>
      <c r="BD47" s="6" t="n"/>
    </row>
    <row r="48">
      <c r="A48" s="5" t="n"/>
      <c r="B48" s="5" t="n"/>
      <c r="C48" s="5" t="n"/>
      <c r="D48" s="5" t="n"/>
      <c r="E48" s="5" t="n"/>
      <c r="F48" s="5" t="n"/>
      <c r="G48" s="6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7">
        <f>IF(OR($C48="",T48=""),"",T48-AVERAGEIF($C:$C,$C48,$T:$T))</f>
        <v/>
      </c>
      <c r="W48" s="7">
        <f>IF(OR($C48="",U48=""),"",U48-AVERAGEIF($C:$C,$C48,$U:$U))</f>
        <v/>
      </c>
      <c r="X48" s="5" t="n"/>
      <c r="Y48" s="5" t="n"/>
      <c r="Z48" s="6" t="n"/>
      <c r="AA48" s="5" t="n"/>
      <c r="AB48" s="5" t="n"/>
      <c r="AC48" s="5" t="n"/>
      <c r="AD48" s="5" t="n"/>
      <c r="AE48" s="5" t="n"/>
      <c r="AF48" s="6" t="n"/>
      <c r="AG48" s="6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7">
        <f>IF(AQ48="","",AQ48)</f>
        <v/>
      </c>
      <c r="AT48" s="7">
        <f>IF(OR(AQ48="",AI48=""),"",AQ48-AI48)</f>
        <v/>
      </c>
      <c r="AU48" s="8">
        <f>IF(OR(AT48="",AQ48=""),"",AT48/AQ48)</f>
        <v/>
      </c>
      <c r="AV48" s="5" t="n"/>
      <c r="AW48" s="5" t="n"/>
      <c r="AX48" s="5" t="n"/>
      <c r="AY48" s="5" t="n"/>
      <c r="AZ48" s="5" t="n"/>
      <c r="BA48" s="6" t="n"/>
      <c r="BB48" s="5" t="n"/>
      <c r="BC48" s="6" t="n"/>
      <c r="BD48" s="6" t="n"/>
    </row>
    <row r="49">
      <c r="A49" s="5" t="n"/>
      <c r="B49" s="5" t="n"/>
      <c r="C49" s="5" t="n"/>
      <c r="D49" s="5" t="n"/>
      <c r="E49" s="5" t="n"/>
      <c r="F49" s="5" t="n"/>
      <c r="G49" s="6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7">
        <f>IF(OR($C49="",T49=""),"",T49-AVERAGEIF($C:$C,$C49,$T:$T))</f>
        <v/>
      </c>
      <c r="W49" s="7">
        <f>IF(OR($C49="",U49=""),"",U49-AVERAGEIF($C:$C,$C49,$U:$U))</f>
        <v/>
      </c>
      <c r="X49" s="5" t="n"/>
      <c r="Y49" s="5" t="n"/>
      <c r="Z49" s="6" t="n"/>
      <c r="AA49" s="5" t="n"/>
      <c r="AB49" s="5" t="n"/>
      <c r="AC49" s="5" t="n"/>
      <c r="AD49" s="5" t="n"/>
      <c r="AE49" s="5" t="n"/>
      <c r="AF49" s="6" t="n"/>
      <c r="AG49" s="6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7">
        <f>IF(AQ49="","",AQ49)</f>
        <v/>
      </c>
      <c r="AT49" s="7">
        <f>IF(OR(AQ49="",AI49=""),"",AQ49-AI49)</f>
        <v/>
      </c>
      <c r="AU49" s="8">
        <f>IF(OR(AT49="",AQ49=""),"",AT49/AQ49)</f>
        <v/>
      </c>
      <c r="AV49" s="5" t="n"/>
      <c r="AW49" s="5" t="n"/>
      <c r="AX49" s="5" t="n"/>
      <c r="AY49" s="5" t="n"/>
      <c r="AZ49" s="5" t="n"/>
      <c r="BA49" s="6" t="n"/>
      <c r="BB49" s="5" t="n"/>
      <c r="BC49" s="6" t="n"/>
      <c r="BD49" s="6" t="n"/>
    </row>
    <row r="50">
      <c r="A50" s="5" t="n"/>
      <c r="B50" s="5" t="n"/>
      <c r="C50" s="5" t="n"/>
      <c r="D50" s="5" t="n"/>
      <c r="E50" s="5" t="n"/>
      <c r="F50" s="5" t="n"/>
      <c r="G50" s="6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7">
        <f>IF(OR($C50="",T50=""),"",T50-AVERAGEIF($C:$C,$C50,$T:$T))</f>
        <v/>
      </c>
      <c r="W50" s="7">
        <f>IF(OR($C50="",U50=""),"",U50-AVERAGEIF($C:$C,$C50,$U:$U))</f>
        <v/>
      </c>
      <c r="X50" s="5" t="n"/>
      <c r="Y50" s="5" t="n"/>
      <c r="Z50" s="6" t="n"/>
      <c r="AA50" s="5" t="n"/>
      <c r="AB50" s="5" t="n"/>
      <c r="AC50" s="5" t="n"/>
      <c r="AD50" s="5" t="n"/>
      <c r="AE50" s="5" t="n"/>
      <c r="AF50" s="6" t="n"/>
      <c r="AG50" s="6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7">
        <f>IF(AQ50="","",AQ50)</f>
        <v/>
      </c>
      <c r="AT50" s="7">
        <f>IF(OR(AQ50="",AI50=""),"",AQ50-AI50)</f>
        <v/>
      </c>
      <c r="AU50" s="8">
        <f>IF(OR(AT50="",AQ50=""),"",AT50/AQ50)</f>
        <v/>
      </c>
      <c r="AV50" s="5" t="n"/>
      <c r="AW50" s="5" t="n"/>
      <c r="AX50" s="5" t="n"/>
      <c r="AY50" s="5" t="n"/>
      <c r="AZ50" s="5" t="n"/>
      <c r="BA50" s="6" t="n"/>
      <c r="BB50" s="5" t="n"/>
      <c r="BC50" s="6" t="n"/>
      <c r="BD50" s="6" t="n"/>
    </row>
    <row r="51">
      <c r="A51" s="5" t="n"/>
      <c r="B51" s="5" t="n"/>
      <c r="C51" s="5" t="n"/>
      <c r="D51" s="5" t="n"/>
      <c r="E51" s="5" t="n"/>
      <c r="F51" s="5" t="n"/>
      <c r="G51" s="6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7">
        <f>IF(OR($C51="",T51=""),"",T51-AVERAGEIF($C:$C,$C51,$T:$T))</f>
        <v/>
      </c>
      <c r="W51" s="7">
        <f>IF(OR($C51="",U51=""),"",U51-AVERAGEIF($C:$C,$C51,$U:$U))</f>
        <v/>
      </c>
      <c r="X51" s="5" t="n"/>
      <c r="Y51" s="5" t="n"/>
      <c r="Z51" s="6" t="n"/>
      <c r="AA51" s="5" t="n"/>
      <c r="AB51" s="5" t="n"/>
      <c r="AC51" s="5" t="n"/>
      <c r="AD51" s="5" t="n"/>
      <c r="AE51" s="5" t="n"/>
      <c r="AF51" s="6" t="n"/>
      <c r="AG51" s="6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7">
        <f>IF(AQ51="","",AQ51)</f>
        <v/>
      </c>
      <c r="AT51" s="7">
        <f>IF(OR(AQ51="",AI51=""),"",AQ51-AI51)</f>
        <v/>
      </c>
      <c r="AU51" s="8">
        <f>IF(OR(AT51="",AQ51=""),"",AT51/AQ51)</f>
        <v/>
      </c>
      <c r="AV51" s="5" t="n"/>
      <c r="AW51" s="5" t="n"/>
      <c r="AX51" s="5" t="n"/>
      <c r="AY51" s="5" t="n"/>
      <c r="AZ51" s="5" t="n"/>
      <c r="BA51" s="6" t="n"/>
      <c r="BB51" s="5" t="n"/>
      <c r="BC51" s="6" t="n"/>
      <c r="BD51" s="6" t="n"/>
    </row>
    <row r="52">
      <c r="A52" s="5" t="n"/>
      <c r="B52" s="5" t="n"/>
      <c r="C52" s="5" t="n"/>
      <c r="D52" s="5" t="n"/>
      <c r="E52" s="5" t="n"/>
      <c r="F52" s="5" t="n"/>
      <c r="G52" s="6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7">
        <f>IF(OR($C52="",T52=""),"",T52-AVERAGEIF($C:$C,$C52,$T:$T))</f>
        <v/>
      </c>
      <c r="W52" s="7">
        <f>IF(OR($C52="",U52=""),"",U52-AVERAGEIF($C:$C,$C52,$U:$U))</f>
        <v/>
      </c>
      <c r="X52" s="5" t="n"/>
      <c r="Y52" s="5" t="n"/>
      <c r="Z52" s="6" t="n"/>
      <c r="AA52" s="5" t="n"/>
      <c r="AB52" s="5" t="n"/>
      <c r="AC52" s="5" t="n"/>
      <c r="AD52" s="5" t="n"/>
      <c r="AE52" s="5" t="n"/>
      <c r="AF52" s="6" t="n"/>
      <c r="AG52" s="6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7">
        <f>IF(AQ52="","",AQ52)</f>
        <v/>
      </c>
      <c r="AT52" s="7">
        <f>IF(OR(AQ52="",AI52=""),"",AQ52-AI52)</f>
        <v/>
      </c>
      <c r="AU52" s="8">
        <f>IF(OR(AT52="",AQ52=""),"",AT52/AQ52)</f>
        <v/>
      </c>
      <c r="AV52" s="5" t="n"/>
      <c r="AW52" s="5" t="n"/>
      <c r="AX52" s="5" t="n"/>
      <c r="AY52" s="5" t="n"/>
      <c r="AZ52" s="5" t="n"/>
      <c r="BA52" s="6" t="n"/>
      <c r="BB52" s="5" t="n"/>
      <c r="BC52" s="6" t="n"/>
      <c r="BD52" s="6" t="n"/>
    </row>
    <row r="53">
      <c r="A53" s="5" t="n"/>
      <c r="B53" s="5" t="n"/>
      <c r="C53" s="5" t="n"/>
      <c r="D53" s="5" t="n"/>
      <c r="E53" s="5" t="n"/>
      <c r="F53" s="5" t="n"/>
      <c r="G53" s="6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7">
        <f>IF(OR($C53="",T53=""),"",T53-AVERAGEIF($C:$C,$C53,$T:$T))</f>
        <v/>
      </c>
      <c r="W53" s="7">
        <f>IF(OR($C53="",U53=""),"",U53-AVERAGEIF($C:$C,$C53,$U:$U))</f>
        <v/>
      </c>
      <c r="X53" s="5" t="n"/>
      <c r="Y53" s="5" t="n"/>
      <c r="Z53" s="6" t="n"/>
      <c r="AA53" s="5" t="n"/>
      <c r="AB53" s="5" t="n"/>
      <c r="AC53" s="5" t="n"/>
      <c r="AD53" s="5" t="n"/>
      <c r="AE53" s="5" t="n"/>
      <c r="AF53" s="6" t="n"/>
      <c r="AG53" s="6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7">
        <f>IF(AQ53="","",AQ53)</f>
        <v/>
      </c>
      <c r="AT53" s="7">
        <f>IF(OR(AQ53="",AI53=""),"",AQ53-AI53)</f>
        <v/>
      </c>
      <c r="AU53" s="8">
        <f>IF(OR(AT53="",AQ53=""),"",AT53/AQ53)</f>
        <v/>
      </c>
      <c r="AV53" s="5" t="n"/>
      <c r="AW53" s="5" t="n"/>
      <c r="AX53" s="5" t="n"/>
      <c r="AY53" s="5" t="n"/>
      <c r="AZ53" s="5" t="n"/>
      <c r="BA53" s="6" t="n"/>
      <c r="BB53" s="5" t="n"/>
      <c r="BC53" s="6" t="n"/>
      <c r="BD53" s="6" t="n"/>
    </row>
    <row r="54">
      <c r="A54" s="5" t="n"/>
      <c r="B54" s="5" t="n"/>
      <c r="C54" s="5" t="n"/>
      <c r="D54" s="5" t="n"/>
      <c r="E54" s="5" t="n"/>
      <c r="F54" s="5" t="n"/>
      <c r="G54" s="6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7">
        <f>IF(OR($C54="",T54=""),"",T54-AVERAGEIF($C:$C,$C54,$T:$T))</f>
        <v/>
      </c>
      <c r="W54" s="7">
        <f>IF(OR($C54="",U54=""),"",U54-AVERAGEIF($C:$C,$C54,$U:$U))</f>
        <v/>
      </c>
      <c r="X54" s="5" t="n"/>
      <c r="Y54" s="5" t="n"/>
      <c r="Z54" s="6" t="n"/>
      <c r="AA54" s="5" t="n"/>
      <c r="AB54" s="5" t="n"/>
      <c r="AC54" s="5" t="n"/>
      <c r="AD54" s="5" t="n"/>
      <c r="AE54" s="5" t="n"/>
      <c r="AF54" s="6" t="n"/>
      <c r="AG54" s="6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7">
        <f>IF(AQ54="","",AQ54)</f>
        <v/>
      </c>
      <c r="AT54" s="7">
        <f>IF(OR(AQ54="",AI54=""),"",AQ54-AI54)</f>
        <v/>
      </c>
      <c r="AU54" s="8">
        <f>IF(OR(AT54="",AQ54=""),"",AT54/AQ54)</f>
        <v/>
      </c>
      <c r="AV54" s="5" t="n"/>
      <c r="AW54" s="5" t="n"/>
      <c r="AX54" s="5" t="n"/>
      <c r="AY54" s="5" t="n"/>
      <c r="AZ54" s="5" t="n"/>
      <c r="BA54" s="6" t="n"/>
      <c r="BB54" s="5" t="n"/>
      <c r="BC54" s="6" t="n"/>
      <c r="BD54" s="6" t="n"/>
    </row>
    <row r="55">
      <c r="A55" s="5" t="n"/>
      <c r="B55" s="5" t="n"/>
      <c r="C55" s="5" t="n"/>
      <c r="D55" s="5" t="n"/>
      <c r="E55" s="5" t="n"/>
      <c r="F55" s="5" t="n"/>
      <c r="G55" s="6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7">
        <f>IF(OR($C55="",T55=""),"",T55-AVERAGEIF($C:$C,$C55,$T:$T))</f>
        <v/>
      </c>
      <c r="W55" s="7">
        <f>IF(OR($C55="",U55=""),"",U55-AVERAGEIF($C:$C,$C55,$U:$U))</f>
        <v/>
      </c>
      <c r="X55" s="5" t="n"/>
      <c r="Y55" s="5" t="n"/>
      <c r="Z55" s="6" t="n"/>
      <c r="AA55" s="5" t="n"/>
      <c r="AB55" s="5" t="n"/>
      <c r="AC55" s="5" t="n"/>
      <c r="AD55" s="5" t="n"/>
      <c r="AE55" s="5" t="n"/>
      <c r="AF55" s="6" t="n"/>
      <c r="AG55" s="6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7">
        <f>IF(AQ55="","",AQ55)</f>
        <v/>
      </c>
      <c r="AT55" s="7">
        <f>IF(OR(AQ55="",AI55=""),"",AQ55-AI55)</f>
        <v/>
      </c>
      <c r="AU55" s="8">
        <f>IF(OR(AT55="",AQ55=""),"",AT55/AQ55)</f>
        <v/>
      </c>
      <c r="AV55" s="5" t="n"/>
      <c r="AW55" s="5" t="n"/>
      <c r="AX55" s="5" t="n"/>
      <c r="AY55" s="5" t="n"/>
      <c r="AZ55" s="5" t="n"/>
      <c r="BA55" s="6" t="n"/>
      <c r="BB55" s="5" t="n"/>
      <c r="BC55" s="6" t="n"/>
      <c r="BD55" s="6" t="n"/>
    </row>
    <row r="56">
      <c r="A56" s="5" t="n"/>
      <c r="B56" s="5" t="n"/>
      <c r="C56" s="5" t="n"/>
      <c r="D56" s="5" t="n"/>
      <c r="E56" s="5" t="n"/>
      <c r="F56" s="5" t="n"/>
      <c r="G56" s="6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7">
        <f>IF(OR($C56="",T56=""),"",T56-AVERAGEIF($C:$C,$C56,$T:$T))</f>
        <v/>
      </c>
      <c r="W56" s="7">
        <f>IF(OR($C56="",U56=""),"",U56-AVERAGEIF($C:$C,$C56,$U:$U))</f>
        <v/>
      </c>
      <c r="X56" s="5" t="n"/>
      <c r="Y56" s="5" t="n"/>
      <c r="Z56" s="6" t="n"/>
      <c r="AA56" s="5" t="n"/>
      <c r="AB56" s="5" t="n"/>
      <c r="AC56" s="5" t="n"/>
      <c r="AD56" s="5" t="n"/>
      <c r="AE56" s="5" t="n"/>
      <c r="AF56" s="6" t="n"/>
      <c r="AG56" s="6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7">
        <f>IF(AQ56="","",AQ56)</f>
        <v/>
      </c>
      <c r="AT56" s="7">
        <f>IF(OR(AQ56="",AI56=""),"",AQ56-AI56)</f>
        <v/>
      </c>
      <c r="AU56" s="8">
        <f>IF(OR(AT56="",AQ56=""),"",AT56/AQ56)</f>
        <v/>
      </c>
      <c r="AV56" s="5" t="n"/>
      <c r="AW56" s="5" t="n"/>
      <c r="AX56" s="5" t="n"/>
      <c r="AY56" s="5" t="n"/>
      <c r="AZ56" s="5" t="n"/>
      <c r="BA56" s="6" t="n"/>
      <c r="BB56" s="5" t="n"/>
      <c r="BC56" s="6" t="n"/>
      <c r="BD56" s="6" t="n"/>
    </row>
    <row r="57">
      <c r="A57" s="5" t="n"/>
      <c r="B57" s="5" t="n"/>
      <c r="C57" s="5" t="n"/>
      <c r="D57" s="5" t="n"/>
      <c r="E57" s="5" t="n"/>
      <c r="F57" s="5" t="n"/>
      <c r="G57" s="6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7">
        <f>IF(OR($C57="",T57=""),"",T57-AVERAGEIF($C:$C,$C57,$T:$T))</f>
        <v/>
      </c>
      <c r="W57" s="7">
        <f>IF(OR($C57="",U57=""),"",U57-AVERAGEIF($C:$C,$C57,$U:$U))</f>
        <v/>
      </c>
      <c r="X57" s="5" t="n"/>
      <c r="Y57" s="5" t="n"/>
      <c r="Z57" s="6" t="n"/>
      <c r="AA57" s="5" t="n"/>
      <c r="AB57" s="5" t="n"/>
      <c r="AC57" s="5" t="n"/>
      <c r="AD57" s="5" t="n"/>
      <c r="AE57" s="5" t="n"/>
      <c r="AF57" s="6" t="n"/>
      <c r="AG57" s="6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7">
        <f>IF(AQ57="","",AQ57)</f>
        <v/>
      </c>
      <c r="AT57" s="7">
        <f>IF(OR(AQ57="",AI57=""),"",AQ57-AI57)</f>
        <v/>
      </c>
      <c r="AU57" s="8">
        <f>IF(OR(AT57="",AQ57=""),"",AT57/AQ57)</f>
        <v/>
      </c>
      <c r="AV57" s="5" t="n"/>
      <c r="AW57" s="5" t="n"/>
      <c r="AX57" s="5" t="n"/>
      <c r="AY57" s="5" t="n"/>
      <c r="AZ57" s="5" t="n"/>
      <c r="BA57" s="6" t="n"/>
      <c r="BB57" s="5" t="n"/>
      <c r="BC57" s="6" t="n"/>
      <c r="BD57" s="6" t="n"/>
    </row>
    <row r="58">
      <c r="A58" s="5" t="n"/>
      <c r="B58" s="5" t="n"/>
      <c r="C58" s="5" t="n"/>
      <c r="D58" s="5" t="n"/>
      <c r="E58" s="5" t="n"/>
      <c r="F58" s="5" t="n"/>
      <c r="G58" s="6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7">
        <f>IF(OR($C58="",T58=""),"",T58-AVERAGEIF($C:$C,$C58,$T:$T))</f>
        <v/>
      </c>
      <c r="W58" s="7">
        <f>IF(OR($C58="",U58=""),"",U58-AVERAGEIF($C:$C,$C58,$U:$U))</f>
        <v/>
      </c>
      <c r="X58" s="5" t="n"/>
      <c r="Y58" s="5" t="n"/>
      <c r="Z58" s="6" t="n"/>
      <c r="AA58" s="5" t="n"/>
      <c r="AB58" s="5" t="n"/>
      <c r="AC58" s="5" t="n"/>
      <c r="AD58" s="5" t="n"/>
      <c r="AE58" s="5" t="n"/>
      <c r="AF58" s="6" t="n"/>
      <c r="AG58" s="6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7">
        <f>IF(AQ58="","",AQ58)</f>
        <v/>
      </c>
      <c r="AT58" s="7">
        <f>IF(OR(AQ58="",AI58=""),"",AQ58-AI58)</f>
        <v/>
      </c>
      <c r="AU58" s="8">
        <f>IF(OR(AT58="",AQ58=""),"",AT58/AQ58)</f>
        <v/>
      </c>
      <c r="AV58" s="5" t="n"/>
      <c r="AW58" s="5" t="n"/>
      <c r="AX58" s="5" t="n"/>
      <c r="AY58" s="5" t="n"/>
      <c r="AZ58" s="5" t="n"/>
      <c r="BA58" s="6" t="n"/>
      <c r="BB58" s="5" t="n"/>
      <c r="BC58" s="6" t="n"/>
      <c r="BD58" s="6" t="n"/>
    </row>
    <row r="59">
      <c r="A59" s="5" t="n"/>
      <c r="B59" s="5" t="n"/>
      <c r="C59" s="5" t="n"/>
      <c r="D59" s="5" t="n"/>
      <c r="E59" s="5" t="n"/>
      <c r="F59" s="5" t="n"/>
      <c r="G59" s="6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7">
        <f>IF(OR($C59="",T59=""),"",T59-AVERAGEIF($C:$C,$C59,$T:$T))</f>
        <v/>
      </c>
      <c r="W59" s="7">
        <f>IF(OR($C59="",U59=""),"",U59-AVERAGEIF($C:$C,$C59,$U:$U))</f>
        <v/>
      </c>
      <c r="X59" s="5" t="n"/>
      <c r="Y59" s="5" t="n"/>
      <c r="Z59" s="6" t="n"/>
      <c r="AA59" s="5" t="n"/>
      <c r="AB59" s="5" t="n"/>
      <c r="AC59" s="5" t="n"/>
      <c r="AD59" s="5" t="n"/>
      <c r="AE59" s="5" t="n"/>
      <c r="AF59" s="6" t="n"/>
      <c r="AG59" s="6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7">
        <f>IF(AQ59="","",AQ59)</f>
        <v/>
      </c>
      <c r="AT59" s="7">
        <f>IF(OR(AQ59="",AI59=""),"",AQ59-AI59)</f>
        <v/>
      </c>
      <c r="AU59" s="8">
        <f>IF(OR(AT59="",AQ59=""),"",AT59/AQ59)</f>
        <v/>
      </c>
      <c r="AV59" s="5" t="n"/>
      <c r="AW59" s="5" t="n"/>
      <c r="AX59" s="5" t="n"/>
      <c r="AY59" s="5" t="n"/>
      <c r="AZ59" s="5" t="n"/>
      <c r="BA59" s="6" t="n"/>
      <c r="BB59" s="5" t="n"/>
      <c r="BC59" s="6" t="n"/>
      <c r="BD59" s="6" t="n"/>
    </row>
    <row r="60">
      <c r="A60" s="5" t="n"/>
      <c r="B60" s="5" t="n"/>
      <c r="C60" s="5" t="n"/>
      <c r="D60" s="5" t="n"/>
      <c r="E60" s="5" t="n"/>
      <c r="F60" s="5" t="n"/>
      <c r="G60" s="6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7">
        <f>IF(OR($C60="",T60=""),"",T60-AVERAGEIF($C:$C,$C60,$T:$T))</f>
        <v/>
      </c>
      <c r="W60" s="7">
        <f>IF(OR($C60="",U60=""),"",U60-AVERAGEIF($C:$C,$C60,$U:$U))</f>
        <v/>
      </c>
      <c r="X60" s="5" t="n"/>
      <c r="Y60" s="5" t="n"/>
      <c r="Z60" s="6" t="n"/>
      <c r="AA60" s="5" t="n"/>
      <c r="AB60" s="5" t="n"/>
      <c r="AC60" s="5" t="n"/>
      <c r="AD60" s="5" t="n"/>
      <c r="AE60" s="5" t="n"/>
      <c r="AF60" s="6" t="n"/>
      <c r="AG60" s="6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7">
        <f>IF(AQ60="","",AQ60)</f>
        <v/>
      </c>
      <c r="AT60" s="7">
        <f>IF(OR(AQ60="",AI60=""),"",AQ60-AI60)</f>
        <v/>
      </c>
      <c r="AU60" s="8">
        <f>IF(OR(AT60="",AQ60=""),"",AT60/AQ60)</f>
        <v/>
      </c>
      <c r="AV60" s="5" t="n"/>
      <c r="AW60" s="5" t="n"/>
      <c r="AX60" s="5" t="n"/>
      <c r="AY60" s="5" t="n"/>
      <c r="AZ60" s="5" t="n"/>
      <c r="BA60" s="6" t="n"/>
      <c r="BB60" s="5" t="n"/>
      <c r="BC60" s="6" t="n"/>
      <c r="BD60" s="6" t="n"/>
    </row>
    <row r="61">
      <c r="A61" s="5" t="n"/>
      <c r="B61" s="5" t="n"/>
      <c r="C61" s="5" t="n"/>
      <c r="D61" s="5" t="n"/>
      <c r="E61" s="5" t="n"/>
      <c r="F61" s="5" t="n"/>
      <c r="G61" s="6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7">
        <f>IF(OR($C61="",T61=""),"",T61-AVERAGEIF($C:$C,$C61,$T:$T))</f>
        <v/>
      </c>
      <c r="W61" s="7">
        <f>IF(OR($C61="",U61=""),"",U61-AVERAGEIF($C:$C,$C61,$U:$U))</f>
        <v/>
      </c>
      <c r="X61" s="5" t="n"/>
      <c r="Y61" s="5" t="n"/>
      <c r="Z61" s="6" t="n"/>
      <c r="AA61" s="5" t="n"/>
      <c r="AB61" s="5" t="n"/>
      <c r="AC61" s="5" t="n"/>
      <c r="AD61" s="5" t="n"/>
      <c r="AE61" s="5" t="n"/>
      <c r="AF61" s="6" t="n"/>
      <c r="AG61" s="6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7">
        <f>IF(AQ61="","",AQ61)</f>
        <v/>
      </c>
      <c r="AT61" s="7">
        <f>IF(OR(AQ61="",AI61=""),"",AQ61-AI61)</f>
        <v/>
      </c>
      <c r="AU61" s="8">
        <f>IF(OR(AT61="",AQ61=""),"",AT61/AQ61)</f>
        <v/>
      </c>
      <c r="AV61" s="5" t="n"/>
      <c r="AW61" s="5" t="n"/>
      <c r="AX61" s="5" t="n"/>
      <c r="AY61" s="5" t="n"/>
      <c r="AZ61" s="5" t="n"/>
      <c r="BA61" s="6" t="n"/>
      <c r="BB61" s="5" t="n"/>
      <c r="BC61" s="6" t="n"/>
      <c r="BD61" s="6" t="n"/>
    </row>
    <row r="62">
      <c r="A62" s="5" t="n"/>
      <c r="B62" s="5" t="n"/>
      <c r="C62" s="5" t="n"/>
      <c r="D62" s="5" t="n"/>
      <c r="E62" s="5" t="n"/>
      <c r="F62" s="5" t="n"/>
      <c r="G62" s="6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7">
        <f>IF(OR($C62="",T62=""),"",T62-AVERAGEIF($C:$C,$C62,$T:$T))</f>
        <v/>
      </c>
      <c r="W62" s="7">
        <f>IF(OR($C62="",U62=""),"",U62-AVERAGEIF($C:$C,$C62,$U:$U))</f>
        <v/>
      </c>
      <c r="X62" s="5" t="n"/>
      <c r="Y62" s="5" t="n"/>
      <c r="Z62" s="6" t="n"/>
      <c r="AA62" s="5" t="n"/>
      <c r="AB62" s="5" t="n"/>
      <c r="AC62" s="5" t="n"/>
      <c r="AD62" s="5" t="n"/>
      <c r="AE62" s="5" t="n"/>
      <c r="AF62" s="6" t="n"/>
      <c r="AG62" s="6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7">
        <f>IF(AQ62="","",AQ62)</f>
        <v/>
      </c>
      <c r="AT62" s="7">
        <f>IF(OR(AQ62="",AI62=""),"",AQ62-AI62)</f>
        <v/>
      </c>
      <c r="AU62" s="8">
        <f>IF(OR(AT62="",AQ62=""),"",AT62/AQ62)</f>
        <v/>
      </c>
      <c r="AV62" s="5" t="n"/>
      <c r="AW62" s="5" t="n"/>
      <c r="AX62" s="5" t="n"/>
      <c r="AY62" s="5" t="n"/>
      <c r="AZ62" s="5" t="n"/>
      <c r="BA62" s="6" t="n"/>
      <c r="BB62" s="5" t="n"/>
      <c r="BC62" s="6" t="n"/>
      <c r="BD62" s="6" t="n"/>
    </row>
    <row r="63">
      <c r="A63" s="5" t="n"/>
      <c r="B63" s="5" t="n"/>
      <c r="C63" s="5" t="n"/>
      <c r="D63" s="5" t="n"/>
      <c r="E63" s="5" t="n"/>
      <c r="F63" s="5" t="n"/>
      <c r="G63" s="6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7">
        <f>IF(OR($C63="",T63=""),"",T63-AVERAGEIF($C:$C,$C63,$T:$T))</f>
        <v/>
      </c>
      <c r="W63" s="7">
        <f>IF(OR($C63="",U63=""),"",U63-AVERAGEIF($C:$C,$C63,$U:$U))</f>
        <v/>
      </c>
      <c r="X63" s="5" t="n"/>
      <c r="Y63" s="5" t="n"/>
      <c r="Z63" s="6" t="n"/>
      <c r="AA63" s="5" t="n"/>
      <c r="AB63" s="5" t="n"/>
      <c r="AC63" s="5" t="n"/>
      <c r="AD63" s="5" t="n"/>
      <c r="AE63" s="5" t="n"/>
      <c r="AF63" s="6" t="n"/>
      <c r="AG63" s="6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7">
        <f>IF(AQ63="","",AQ63)</f>
        <v/>
      </c>
      <c r="AT63" s="7">
        <f>IF(OR(AQ63="",AI63=""),"",AQ63-AI63)</f>
        <v/>
      </c>
      <c r="AU63" s="8">
        <f>IF(OR(AT63="",AQ63=""),"",AT63/AQ63)</f>
        <v/>
      </c>
      <c r="AV63" s="5" t="n"/>
      <c r="AW63" s="5" t="n"/>
      <c r="AX63" s="5" t="n"/>
      <c r="AY63" s="5" t="n"/>
      <c r="AZ63" s="5" t="n"/>
      <c r="BA63" s="6" t="n"/>
      <c r="BB63" s="5" t="n"/>
      <c r="BC63" s="6" t="n"/>
      <c r="BD63" s="6" t="n"/>
    </row>
    <row r="64">
      <c r="A64" s="5" t="n"/>
      <c r="B64" s="5" t="n"/>
      <c r="C64" s="5" t="n"/>
      <c r="D64" s="5" t="n"/>
      <c r="E64" s="5" t="n"/>
      <c r="F64" s="5" t="n"/>
      <c r="G64" s="6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7">
        <f>IF(OR($C64="",T64=""),"",T64-AVERAGEIF($C:$C,$C64,$T:$T))</f>
        <v/>
      </c>
      <c r="W64" s="7">
        <f>IF(OR($C64="",U64=""),"",U64-AVERAGEIF($C:$C,$C64,$U:$U))</f>
        <v/>
      </c>
      <c r="X64" s="5" t="n"/>
      <c r="Y64" s="5" t="n"/>
      <c r="Z64" s="6" t="n"/>
      <c r="AA64" s="5" t="n"/>
      <c r="AB64" s="5" t="n"/>
      <c r="AC64" s="5" t="n"/>
      <c r="AD64" s="5" t="n"/>
      <c r="AE64" s="5" t="n"/>
      <c r="AF64" s="6" t="n"/>
      <c r="AG64" s="6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7">
        <f>IF(AQ64="","",AQ64)</f>
        <v/>
      </c>
      <c r="AT64" s="7">
        <f>IF(OR(AQ64="",AI64=""),"",AQ64-AI64)</f>
        <v/>
      </c>
      <c r="AU64" s="8">
        <f>IF(OR(AT64="",AQ64=""),"",AT64/AQ64)</f>
        <v/>
      </c>
      <c r="AV64" s="5" t="n"/>
      <c r="AW64" s="5" t="n"/>
      <c r="AX64" s="5" t="n"/>
      <c r="AY64" s="5" t="n"/>
      <c r="AZ64" s="5" t="n"/>
      <c r="BA64" s="6" t="n"/>
      <c r="BB64" s="5" t="n"/>
      <c r="BC64" s="6" t="n"/>
      <c r="BD64" s="6" t="n"/>
    </row>
    <row r="65">
      <c r="A65" s="5" t="n"/>
      <c r="B65" s="5" t="n"/>
      <c r="C65" s="5" t="n"/>
      <c r="D65" s="5" t="n"/>
      <c r="E65" s="5" t="n"/>
      <c r="F65" s="5" t="n"/>
      <c r="G65" s="6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7">
        <f>IF(OR($C65="",T65=""),"",T65-AVERAGEIF($C:$C,$C65,$T:$T))</f>
        <v/>
      </c>
      <c r="W65" s="7">
        <f>IF(OR($C65="",U65=""),"",U65-AVERAGEIF($C:$C,$C65,$U:$U))</f>
        <v/>
      </c>
      <c r="X65" s="5" t="n"/>
      <c r="Y65" s="5" t="n"/>
      <c r="Z65" s="6" t="n"/>
      <c r="AA65" s="5" t="n"/>
      <c r="AB65" s="5" t="n"/>
      <c r="AC65" s="5" t="n"/>
      <c r="AD65" s="5" t="n"/>
      <c r="AE65" s="5" t="n"/>
      <c r="AF65" s="6" t="n"/>
      <c r="AG65" s="6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7">
        <f>IF(AQ65="","",AQ65)</f>
        <v/>
      </c>
      <c r="AT65" s="7">
        <f>IF(OR(AQ65="",AI65=""),"",AQ65-AI65)</f>
        <v/>
      </c>
      <c r="AU65" s="8">
        <f>IF(OR(AT65="",AQ65=""),"",AT65/AQ65)</f>
        <v/>
      </c>
      <c r="AV65" s="5" t="n"/>
      <c r="AW65" s="5" t="n"/>
      <c r="AX65" s="5" t="n"/>
      <c r="AY65" s="5" t="n"/>
      <c r="AZ65" s="5" t="n"/>
      <c r="BA65" s="6" t="n"/>
      <c r="BB65" s="5" t="n"/>
      <c r="BC65" s="6" t="n"/>
      <c r="BD65" s="6" t="n"/>
    </row>
    <row r="66">
      <c r="A66" s="5" t="n"/>
      <c r="B66" s="5" t="n"/>
      <c r="C66" s="5" t="n"/>
      <c r="D66" s="5" t="n"/>
      <c r="E66" s="5" t="n"/>
      <c r="F66" s="5" t="n"/>
      <c r="G66" s="6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7">
        <f>IF(OR($C66="",T66=""),"",T66-AVERAGEIF($C:$C,$C66,$T:$T))</f>
        <v/>
      </c>
      <c r="W66" s="7">
        <f>IF(OR($C66="",U66=""),"",U66-AVERAGEIF($C:$C,$C66,$U:$U))</f>
        <v/>
      </c>
      <c r="X66" s="5" t="n"/>
      <c r="Y66" s="5" t="n"/>
      <c r="Z66" s="6" t="n"/>
      <c r="AA66" s="5" t="n"/>
      <c r="AB66" s="5" t="n"/>
      <c r="AC66" s="5" t="n"/>
      <c r="AD66" s="5" t="n"/>
      <c r="AE66" s="5" t="n"/>
      <c r="AF66" s="6" t="n"/>
      <c r="AG66" s="6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7">
        <f>IF(AQ66="","",AQ66)</f>
        <v/>
      </c>
      <c r="AT66" s="7">
        <f>IF(OR(AQ66="",AI66=""),"",AQ66-AI66)</f>
        <v/>
      </c>
      <c r="AU66" s="8">
        <f>IF(OR(AT66="",AQ66=""),"",AT66/AQ66)</f>
        <v/>
      </c>
      <c r="AV66" s="5" t="n"/>
      <c r="AW66" s="5" t="n"/>
      <c r="AX66" s="5" t="n"/>
      <c r="AY66" s="5" t="n"/>
      <c r="AZ66" s="5" t="n"/>
      <c r="BA66" s="6" t="n"/>
      <c r="BB66" s="5" t="n"/>
      <c r="BC66" s="6" t="n"/>
      <c r="BD66" s="6" t="n"/>
    </row>
    <row r="67">
      <c r="A67" s="5" t="n"/>
      <c r="B67" s="5" t="n"/>
      <c r="C67" s="5" t="n"/>
      <c r="D67" s="5" t="n"/>
      <c r="E67" s="5" t="n"/>
      <c r="F67" s="5" t="n"/>
      <c r="G67" s="6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7">
        <f>IF(OR($C67="",T67=""),"",T67-AVERAGEIF($C:$C,$C67,$T:$T))</f>
        <v/>
      </c>
      <c r="W67" s="7">
        <f>IF(OR($C67="",U67=""),"",U67-AVERAGEIF($C:$C,$C67,$U:$U))</f>
        <v/>
      </c>
      <c r="X67" s="5" t="n"/>
      <c r="Y67" s="5" t="n"/>
      <c r="Z67" s="6" t="n"/>
      <c r="AA67" s="5" t="n"/>
      <c r="AB67" s="5" t="n"/>
      <c r="AC67" s="5" t="n"/>
      <c r="AD67" s="5" t="n"/>
      <c r="AE67" s="5" t="n"/>
      <c r="AF67" s="6" t="n"/>
      <c r="AG67" s="6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7">
        <f>IF(AQ67="","",AQ67)</f>
        <v/>
      </c>
      <c r="AT67" s="7">
        <f>IF(OR(AQ67="",AI67=""),"",AQ67-AI67)</f>
        <v/>
      </c>
      <c r="AU67" s="8">
        <f>IF(OR(AT67="",AQ67=""),"",AT67/AQ67)</f>
        <v/>
      </c>
      <c r="AV67" s="5" t="n"/>
      <c r="AW67" s="5" t="n"/>
      <c r="AX67" s="5" t="n"/>
      <c r="AY67" s="5" t="n"/>
      <c r="AZ67" s="5" t="n"/>
      <c r="BA67" s="6" t="n"/>
      <c r="BB67" s="5" t="n"/>
      <c r="BC67" s="6" t="n"/>
      <c r="BD67" s="6" t="n"/>
    </row>
    <row r="68">
      <c r="A68" s="5" t="n"/>
      <c r="B68" s="5" t="n"/>
      <c r="C68" s="5" t="n"/>
      <c r="D68" s="5" t="n"/>
      <c r="E68" s="5" t="n"/>
      <c r="F68" s="5" t="n"/>
      <c r="G68" s="6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7">
        <f>IF(OR($C68="",T68=""),"",T68-AVERAGEIF($C:$C,$C68,$T:$T))</f>
        <v/>
      </c>
      <c r="W68" s="7">
        <f>IF(OR($C68="",U68=""),"",U68-AVERAGEIF($C:$C,$C68,$U:$U))</f>
        <v/>
      </c>
      <c r="X68" s="5" t="n"/>
      <c r="Y68" s="5" t="n"/>
      <c r="Z68" s="6" t="n"/>
      <c r="AA68" s="5" t="n"/>
      <c r="AB68" s="5" t="n"/>
      <c r="AC68" s="5" t="n"/>
      <c r="AD68" s="5" t="n"/>
      <c r="AE68" s="5" t="n"/>
      <c r="AF68" s="6" t="n"/>
      <c r="AG68" s="6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7">
        <f>IF(AQ68="","",AQ68)</f>
        <v/>
      </c>
      <c r="AT68" s="7">
        <f>IF(OR(AQ68="",AI68=""),"",AQ68-AI68)</f>
        <v/>
      </c>
      <c r="AU68" s="8">
        <f>IF(OR(AT68="",AQ68=""),"",AT68/AQ68)</f>
        <v/>
      </c>
      <c r="AV68" s="5" t="n"/>
      <c r="AW68" s="5" t="n"/>
      <c r="AX68" s="5" t="n"/>
      <c r="AY68" s="5" t="n"/>
      <c r="AZ68" s="5" t="n"/>
      <c r="BA68" s="6" t="n"/>
      <c r="BB68" s="5" t="n"/>
      <c r="BC68" s="6" t="n"/>
      <c r="BD68" s="6" t="n"/>
    </row>
    <row r="69">
      <c r="A69" s="5" t="n"/>
      <c r="B69" s="5" t="n"/>
      <c r="C69" s="5" t="n"/>
      <c r="D69" s="5" t="n"/>
      <c r="E69" s="5" t="n"/>
      <c r="F69" s="5" t="n"/>
      <c r="G69" s="6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7">
        <f>IF(OR($C69="",T69=""),"",T69-AVERAGEIF($C:$C,$C69,$T:$T))</f>
        <v/>
      </c>
      <c r="W69" s="7">
        <f>IF(OR($C69="",U69=""),"",U69-AVERAGEIF($C:$C,$C69,$U:$U))</f>
        <v/>
      </c>
      <c r="X69" s="5" t="n"/>
      <c r="Y69" s="5" t="n"/>
      <c r="Z69" s="6" t="n"/>
      <c r="AA69" s="5" t="n"/>
      <c r="AB69" s="5" t="n"/>
      <c r="AC69" s="5" t="n"/>
      <c r="AD69" s="5" t="n"/>
      <c r="AE69" s="5" t="n"/>
      <c r="AF69" s="6" t="n"/>
      <c r="AG69" s="6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7">
        <f>IF(AQ69="","",AQ69)</f>
        <v/>
      </c>
      <c r="AT69" s="7">
        <f>IF(OR(AQ69="",AI69=""),"",AQ69-AI69)</f>
        <v/>
      </c>
      <c r="AU69" s="8">
        <f>IF(OR(AT69="",AQ69=""),"",AT69/AQ69)</f>
        <v/>
      </c>
      <c r="AV69" s="5" t="n"/>
      <c r="AW69" s="5" t="n"/>
      <c r="AX69" s="5" t="n"/>
      <c r="AY69" s="5" t="n"/>
      <c r="AZ69" s="5" t="n"/>
      <c r="BA69" s="6" t="n"/>
      <c r="BB69" s="5" t="n"/>
      <c r="BC69" s="6" t="n"/>
      <c r="BD69" s="6" t="n"/>
    </row>
    <row r="70">
      <c r="A70" s="5" t="n"/>
      <c r="B70" s="5" t="n"/>
      <c r="C70" s="5" t="n"/>
      <c r="D70" s="5" t="n"/>
      <c r="E70" s="5" t="n"/>
      <c r="F70" s="5" t="n"/>
      <c r="G70" s="6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7">
        <f>IF(OR($C70="",T70=""),"",T70-AVERAGEIF($C:$C,$C70,$T:$T))</f>
        <v/>
      </c>
      <c r="W70" s="7">
        <f>IF(OR($C70="",U70=""),"",U70-AVERAGEIF($C:$C,$C70,$U:$U))</f>
        <v/>
      </c>
      <c r="X70" s="5" t="n"/>
      <c r="Y70" s="5" t="n"/>
      <c r="Z70" s="6" t="n"/>
      <c r="AA70" s="5" t="n"/>
      <c r="AB70" s="5" t="n"/>
      <c r="AC70" s="5" t="n"/>
      <c r="AD70" s="5" t="n"/>
      <c r="AE70" s="5" t="n"/>
      <c r="AF70" s="6" t="n"/>
      <c r="AG70" s="6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7">
        <f>IF(AQ70="","",AQ70)</f>
        <v/>
      </c>
      <c r="AT70" s="7">
        <f>IF(OR(AQ70="",AI70=""),"",AQ70-AI70)</f>
        <v/>
      </c>
      <c r="AU70" s="8">
        <f>IF(OR(AT70="",AQ70=""),"",AT70/AQ70)</f>
        <v/>
      </c>
      <c r="AV70" s="5" t="n"/>
      <c r="AW70" s="5" t="n"/>
      <c r="AX70" s="5" t="n"/>
      <c r="AY70" s="5" t="n"/>
      <c r="AZ70" s="5" t="n"/>
      <c r="BA70" s="6" t="n"/>
      <c r="BB70" s="5" t="n"/>
      <c r="BC70" s="6" t="n"/>
      <c r="BD70" s="6" t="n"/>
    </row>
    <row r="71">
      <c r="A71" s="5" t="n"/>
      <c r="B71" s="5" t="n"/>
      <c r="C71" s="5" t="n"/>
      <c r="D71" s="5" t="n"/>
      <c r="E71" s="5" t="n"/>
      <c r="F71" s="5" t="n"/>
      <c r="G71" s="6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7">
        <f>IF(OR($C71="",T71=""),"",T71-AVERAGEIF($C:$C,$C71,$T:$T))</f>
        <v/>
      </c>
      <c r="W71" s="7">
        <f>IF(OR($C71="",U71=""),"",U71-AVERAGEIF($C:$C,$C71,$U:$U))</f>
        <v/>
      </c>
      <c r="X71" s="5" t="n"/>
      <c r="Y71" s="5" t="n"/>
      <c r="Z71" s="6" t="n"/>
      <c r="AA71" s="5" t="n"/>
      <c r="AB71" s="5" t="n"/>
      <c r="AC71" s="5" t="n"/>
      <c r="AD71" s="5" t="n"/>
      <c r="AE71" s="5" t="n"/>
      <c r="AF71" s="6" t="n"/>
      <c r="AG71" s="6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7">
        <f>IF(AQ71="","",AQ71)</f>
        <v/>
      </c>
      <c r="AT71" s="7">
        <f>IF(OR(AQ71="",AI71=""),"",AQ71-AI71)</f>
        <v/>
      </c>
      <c r="AU71" s="8">
        <f>IF(OR(AT71="",AQ71=""),"",AT71/AQ71)</f>
        <v/>
      </c>
      <c r="AV71" s="5" t="n"/>
      <c r="AW71" s="5" t="n"/>
      <c r="AX71" s="5" t="n"/>
      <c r="AY71" s="5" t="n"/>
      <c r="AZ71" s="5" t="n"/>
      <c r="BA71" s="6" t="n"/>
      <c r="BB71" s="5" t="n"/>
      <c r="BC71" s="6" t="n"/>
      <c r="BD71" s="6" t="n"/>
    </row>
    <row r="72">
      <c r="A72" s="5" t="n"/>
      <c r="B72" s="5" t="n"/>
      <c r="C72" s="5" t="n"/>
      <c r="D72" s="5" t="n"/>
      <c r="E72" s="5" t="n"/>
      <c r="F72" s="5" t="n"/>
      <c r="G72" s="6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7">
        <f>IF(OR($C72="",T72=""),"",T72-AVERAGEIF($C:$C,$C72,$T:$T))</f>
        <v/>
      </c>
      <c r="W72" s="7">
        <f>IF(OR($C72="",U72=""),"",U72-AVERAGEIF($C:$C,$C72,$U:$U))</f>
        <v/>
      </c>
      <c r="X72" s="5" t="n"/>
      <c r="Y72" s="5" t="n"/>
      <c r="Z72" s="6" t="n"/>
      <c r="AA72" s="5" t="n"/>
      <c r="AB72" s="5" t="n"/>
      <c r="AC72" s="5" t="n"/>
      <c r="AD72" s="5" t="n"/>
      <c r="AE72" s="5" t="n"/>
      <c r="AF72" s="6" t="n"/>
      <c r="AG72" s="6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7">
        <f>IF(AQ72="","",AQ72)</f>
        <v/>
      </c>
      <c r="AT72" s="7">
        <f>IF(OR(AQ72="",AI72=""),"",AQ72-AI72)</f>
        <v/>
      </c>
      <c r="AU72" s="8">
        <f>IF(OR(AT72="",AQ72=""),"",AT72/AQ72)</f>
        <v/>
      </c>
      <c r="AV72" s="5" t="n"/>
      <c r="AW72" s="5" t="n"/>
      <c r="AX72" s="5" t="n"/>
      <c r="AY72" s="5" t="n"/>
      <c r="AZ72" s="5" t="n"/>
      <c r="BA72" s="6" t="n"/>
      <c r="BB72" s="5" t="n"/>
      <c r="BC72" s="6" t="n"/>
      <c r="BD72" s="6" t="n"/>
    </row>
    <row r="73">
      <c r="A73" s="5" t="n"/>
      <c r="B73" s="5" t="n"/>
      <c r="C73" s="5" t="n"/>
      <c r="D73" s="5" t="n"/>
      <c r="E73" s="5" t="n"/>
      <c r="F73" s="5" t="n"/>
      <c r="G73" s="6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7">
        <f>IF(OR($C73="",T73=""),"",T73-AVERAGEIF($C:$C,$C73,$T:$T))</f>
        <v/>
      </c>
      <c r="W73" s="7">
        <f>IF(OR($C73="",U73=""),"",U73-AVERAGEIF($C:$C,$C73,$U:$U))</f>
        <v/>
      </c>
      <c r="X73" s="5" t="n"/>
      <c r="Y73" s="5" t="n"/>
      <c r="Z73" s="6" t="n"/>
      <c r="AA73" s="5" t="n"/>
      <c r="AB73" s="5" t="n"/>
      <c r="AC73" s="5" t="n"/>
      <c r="AD73" s="5" t="n"/>
      <c r="AE73" s="5" t="n"/>
      <c r="AF73" s="6" t="n"/>
      <c r="AG73" s="6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7">
        <f>IF(AQ73="","",AQ73)</f>
        <v/>
      </c>
      <c r="AT73" s="7">
        <f>IF(OR(AQ73="",AI73=""),"",AQ73-AI73)</f>
        <v/>
      </c>
      <c r="AU73" s="8">
        <f>IF(OR(AT73="",AQ73=""),"",AT73/AQ73)</f>
        <v/>
      </c>
      <c r="AV73" s="5" t="n"/>
      <c r="AW73" s="5" t="n"/>
      <c r="AX73" s="5" t="n"/>
      <c r="AY73" s="5" t="n"/>
      <c r="AZ73" s="5" t="n"/>
      <c r="BA73" s="6" t="n"/>
      <c r="BB73" s="5" t="n"/>
      <c r="BC73" s="6" t="n"/>
      <c r="BD73" s="6" t="n"/>
    </row>
    <row r="74">
      <c r="A74" s="5" t="n"/>
      <c r="B74" s="5" t="n"/>
      <c r="C74" s="5" t="n"/>
      <c r="D74" s="5" t="n"/>
      <c r="E74" s="5" t="n"/>
      <c r="F74" s="5" t="n"/>
      <c r="G74" s="6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7">
        <f>IF(OR($C74="",T74=""),"",T74-AVERAGEIF($C:$C,$C74,$T:$T))</f>
        <v/>
      </c>
      <c r="W74" s="7">
        <f>IF(OR($C74="",U74=""),"",U74-AVERAGEIF($C:$C,$C74,$U:$U))</f>
        <v/>
      </c>
      <c r="X74" s="5" t="n"/>
      <c r="Y74" s="5" t="n"/>
      <c r="Z74" s="6" t="n"/>
      <c r="AA74" s="5" t="n"/>
      <c r="AB74" s="5" t="n"/>
      <c r="AC74" s="5" t="n"/>
      <c r="AD74" s="5" t="n"/>
      <c r="AE74" s="5" t="n"/>
      <c r="AF74" s="6" t="n"/>
      <c r="AG74" s="6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7">
        <f>IF(AQ74="","",AQ74)</f>
        <v/>
      </c>
      <c r="AT74" s="7">
        <f>IF(OR(AQ74="",AI74=""),"",AQ74-AI74)</f>
        <v/>
      </c>
      <c r="AU74" s="8">
        <f>IF(OR(AT74="",AQ74=""),"",AT74/AQ74)</f>
        <v/>
      </c>
      <c r="AV74" s="5" t="n"/>
      <c r="AW74" s="5" t="n"/>
      <c r="AX74" s="5" t="n"/>
      <c r="AY74" s="5" t="n"/>
      <c r="AZ74" s="5" t="n"/>
      <c r="BA74" s="6" t="n"/>
      <c r="BB74" s="5" t="n"/>
      <c r="BC74" s="6" t="n"/>
      <c r="BD74" s="6" t="n"/>
    </row>
    <row r="75">
      <c r="A75" s="5" t="n"/>
      <c r="B75" s="5" t="n"/>
      <c r="C75" s="5" t="n"/>
      <c r="D75" s="5" t="n"/>
      <c r="E75" s="5" t="n"/>
      <c r="F75" s="5" t="n"/>
      <c r="G75" s="6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7">
        <f>IF(OR($C75="",T75=""),"",T75-AVERAGEIF($C:$C,$C75,$T:$T))</f>
        <v/>
      </c>
      <c r="W75" s="7">
        <f>IF(OR($C75="",U75=""),"",U75-AVERAGEIF($C:$C,$C75,$U:$U))</f>
        <v/>
      </c>
      <c r="X75" s="5" t="n"/>
      <c r="Y75" s="5" t="n"/>
      <c r="Z75" s="6" t="n"/>
      <c r="AA75" s="5" t="n"/>
      <c r="AB75" s="5" t="n"/>
      <c r="AC75" s="5" t="n"/>
      <c r="AD75" s="5" t="n"/>
      <c r="AE75" s="5" t="n"/>
      <c r="AF75" s="6" t="n"/>
      <c r="AG75" s="6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7">
        <f>IF(AQ75="","",AQ75)</f>
        <v/>
      </c>
      <c r="AT75" s="7">
        <f>IF(OR(AQ75="",AI75=""),"",AQ75-AI75)</f>
        <v/>
      </c>
      <c r="AU75" s="8">
        <f>IF(OR(AT75="",AQ75=""),"",AT75/AQ75)</f>
        <v/>
      </c>
      <c r="AV75" s="5" t="n"/>
      <c r="AW75" s="5" t="n"/>
      <c r="AX75" s="5" t="n"/>
      <c r="AY75" s="5" t="n"/>
      <c r="AZ75" s="5" t="n"/>
      <c r="BA75" s="6" t="n"/>
      <c r="BB75" s="5" t="n"/>
      <c r="BC75" s="6" t="n"/>
      <c r="BD75" s="6" t="n"/>
    </row>
    <row r="76">
      <c r="A76" s="5" t="n"/>
      <c r="B76" s="5" t="n"/>
      <c r="C76" s="5" t="n"/>
      <c r="D76" s="5" t="n"/>
      <c r="E76" s="5" t="n"/>
      <c r="F76" s="5" t="n"/>
      <c r="G76" s="6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7">
        <f>IF(OR($C76="",T76=""),"",T76-AVERAGEIF($C:$C,$C76,$T:$T))</f>
        <v/>
      </c>
      <c r="W76" s="7">
        <f>IF(OR($C76="",U76=""),"",U76-AVERAGEIF($C:$C,$C76,$U:$U))</f>
        <v/>
      </c>
      <c r="X76" s="5" t="n"/>
      <c r="Y76" s="5" t="n"/>
      <c r="Z76" s="6" t="n"/>
      <c r="AA76" s="5" t="n"/>
      <c r="AB76" s="5" t="n"/>
      <c r="AC76" s="5" t="n"/>
      <c r="AD76" s="5" t="n"/>
      <c r="AE76" s="5" t="n"/>
      <c r="AF76" s="6" t="n"/>
      <c r="AG76" s="6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7">
        <f>IF(AQ76="","",AQ76)</f>
        <v/>
      </c>
      <c r="AT76" s="7">
        <f>IF(OR(AQ76="",AI76=""),"",AQ76-AI76)</f>
        <v/>
      </c>
      <c r="AU76" s="8">
        <f>IF(OR(AT76="",AQ76=""),"",AT76/AQ76)</f>
        <v/>
      </c>
      <c r="AV76" s="5" t="n"/>
      <c r="AW76" s="5" t="n"/>
      <c r="AX76" s="5" t="n"/>
      <c r="AY76" s="5" t="n"/>
      <c r="AZ76" s="5" t="n"/>
      <c r="BA76" s="6" t="n"/>
      <c r="BB76" s="5" t="n"/>
      <c r="BC76" s="6" t="n"/>
      <c r="BD76" s="6" t="n"/>
    </row>
    <row r="77">
      <c r="A77" s="5" t="n"/>
      <c r="B77" s="5" t="n"/>
      <c r="C77" s="5" t="n"/>
      <c r="D77" s="5" t="n"/>
      <c r="E77" s="5" t="n"/>
      <c r="F77" s="5" t="n"/>
      <c r="G77" s="6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7">
        <f>IF(OR($C77="",T77=""),"",T77-AVERAGEIF($C:$C,$C77,$T:$T))</f>
        <v/>
      </c>
      <c r="W77" s="7">
        <f>IF(OR($C77="",U77=""),"",U77-AVERAGEIF($C:$C,$C77,$U:$U))</f>
        <v/>
      </c>
      <c r="X77" s="5" t="n"/>
      <c r="Y77" s="5" t="n"/>
      <c r="Z77" s="6" t="n"/>
      <c r="AA77" s="5" t="n"/>
      <c r="AB77" s="5" t="n"/>
      <c r="AC77" s="5" t="n"/>
      <c r="AD77" s="5" t="n"/>
      <c r="AE77" s="5" t="n"/>
      <c r="AF77" s="6" t="n"/>
      <c r="AG77" s="6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7">
        <f>IF(AQ77="","",AQ77)</f>
        <v/>
      </c>
      <c r="AT77" s="7">
        <f>IF(OR(AQ77="",AI77=""),"",AQ77-AI77)</f>
        <v/>
      </c>
      <c r="AU77" s="8">
        <f>IF(OR(AT77="",AQ77=""),"",AT77/AQ77)</f>
        <v/>
      </c>
      <c r="AV77" s="5" t="n"/>
      <c r="AW77" s="5" t="n"/>
      <c r="AX77" s="5" t="n"/>
      <c r="AY77" s="5" t="n"/>
      <c r="AZ77" s="5" t="n"/>
      <c r="BA77" s="6" t="n"/>
      <c r="BB77" s="5" t="n"/>
      <c r="BC77" s="6" t="n"/>
      <c r="BD77" s="6" t="n"/>
    </row>
    <row r="78">
      <c r="A78" s="5" t="n"/>
      <c r="B78" s="5" t="n"/>
      <c r="C78" s="5" t="n"/>
      <c r="D78" s="5" t="n"/>
      <c r="E78" s="5" t="n"/>
      <c r="F78" s="5" t="n"/>
      <c r="G78" s="6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7">
        <f>IF(OR($C78="",T78=""),"",T78-AVERAGEIF($C:$C,$C78,$T:$T))</f>
        <v/>
      </c>
      <c r="W78" s="7">
        <f>IF(OR($C78="",U78=""),"",U78-AVERAGEIF($C:$C,$C78,$U:$U))</f>
        <v/>
      </c>
      <c r="X78" s="5" t="n"/>
      <c r="Y78" s="5" t="n"/>
      <c r="Z78" s="6" t="n"/>
      <c r="AA78" s="5" t="n"/>
      <c r="AB78" s="5" t="n"/>
      <c r="AC78" s="5" t="n"/>
      <c r="AD78" s="5" t="n"/>
      <c r="AE78" s="5" t="n"/>
      <c r="AF78" s="6" t="n"/>
      <c r="AG78" s="6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7">
        <f>IF(AQ78="","",AQ78)</f>
        <v/>
      </c>
      <c r="AT78" s="7">
        <f>IF(OR(AQ78="",AI78=""),"",AQ78-AI78)</f>
        <v/>
      </c>
      <c r="AU78" s="8">
        <f>IF(OR(AT78="",AQ78=""),"",AT78/AQ78)</f>
        <v/>
      </c>
      <c r="AV78" s="5" t="n"/>
      <c r="AW78" s="5" t="n"/>
      <c r="AX78" s="5" t="n"/>
      <c r="AY78" s="5" t="n"/>
      <c r="AZ78" s="5" t="n"/>
      <c r="BA78" s="6" t="n"/>
      <c r="BB78" s="5" t="n"/>
      <c r="BC78" s="6" t="n"/>
      <c r="BD78" s="6" t="n"/>
    </row>
    <row r="79">
      <c r="A79" s="5" t="n"/>
      <c r="B79" s="5" t="n"/>
      <c r="C79" s="5" t="n"/>
      <c r="D79" s="5" t="n"/>
      <c r="E79" s="5" t="n"/>
      <c r="F79" s="5" t="n"/>
      <c r="G79" s="6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7">
        <f>IF(OR($C79="",T79=""),"",T79-AVERAGEIF($C:$C,$C79,$T:$T))</f>
        <v/>
      </c>
      <c r="W79" s="7">
        <f>IF(OR($C79="",U79=""),"",U79-AVERAGEIF($C:$C,$C79,$U:$U))</f>
        <v/>
      </c>
      <c r="X79" s="5" t="n"/>
      <c r="Y79" s="5" t="n"/>
      <c r="Z79" s="6" t="n"/>
      <c r="AA79" s="5" t="n"/>
      <c r="AB79" s="5" t="n"/>
      <c r="AC79" s="5" t="n"/>
      <c r="AD79" s="5" t="n"/>
      <c r="AE79" s="5" t="n"/>
      <c r="AF79" s="6" t="n"/>
      <c r="AG79" s="6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7">
        <f>IF(AQ79="","",AQ79)</f>
        <v/>
      </c>
      <c r="AT79" s="7">
        <f>IF(OR(AQ79="",AI79=""),"",AQ79-AI79)</f>
        <v/>
      </c>
      <c r="AU79" s="8">
        <f>IF(OR(AT79="",AQ79=""),"",AT79/AQ79)</f>
        <v/>
      </c>
      <c r="AV79" s="5" t="n"/>
      <c r="AW79" s="5" t="n"/>
      <c r="AX79" s="5" t="n"/>
      <c r="AY79" s="5" t="n"/>
      <c r="AZ79" s="5" t="n"/>
      <c r="BA79" s="6" t="n"/>
      <c r="BB79" s="5" t="n"/>
      <c r="BC79" s="6" t="n"/>
      <c r="BD79" s="6" t="n"/>
    </row>
    <row r="80">
      <c r="A80" s="5" t="n"/>
      <c r="B80" s="5" t="n"/>
      <c r="C80" s="5" t="n"/>
      <c r="D80" s="5" t="n"/>
      <c r="E80" s="5" t="n"/>
      <c r="F80" s="5" t="n"/>
      <c r="G80" s="6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7">
        <f>IF(OR($C80="",T80=""),"",T80-AVERAGEIF($C:$C,$C80,$T:$T))</f>
        <v/>
      </c>
      <c r="W80" s="7">
        <f>IF(OR($C80="",U80=""),"",U80-AVERAGEIF($C:$C,$C80,$U:$U))</f>
        <v/>
      </c>
      <c r="X80" s="5" t="n"/>
      <c r="Y80" s="5" t="n"/>
      <c r="Z80" s="6" t="n"/>
      <c r="AA80" s="5" t="n"/>
      <c r="AB80" s="5" t="n"/>
      <c r="AC80" s="5" t="n"/>
      <c r="AD80" s="5" t="n"/>
      <c r="AE80" s="5" t="n"/>
      <c r="AF80" s="6" t="n"/>
      <c r="AG80" s="6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7">
        <f>IF(AQ80="","",AQ80)</f>
        <v/>
      </c>
      <c r="AT80" s="7">
        <f>IF(OR(AQ80="",AI80=""),"",AQ80-AI80)</f>
        <v/>
      </c>
      <c r="AU80" s="8">
        <f>IF(OR(AT80="",AQ80=""),"",AT80/AQ80)</f>
        <v/>
      </c>
      <c r="AV80" s="5" t="n"/>
      <c r="AW80" s="5" t="n"/>
      <c r="AX80" s="5" t="n"/>
      <c r="AY80" s="5" t="n"/>
      <c r="AZ80" s="5" t="n"/>
      <c r="BA80" s="6" t="n"/>
      <c r="BB80" s="5" t="n"/>
      <c r="BC80" s="6" t="n"/>
      <c r="BD80" s="6" t="n"/>
    </row>
    <row r="81">
      <c r="A81" s="5" t="n"/>
      <c r="B81" s="5" t="n"/>
      <c r="C81" s="5" t="n"/>
      <c r="D81" s="5" t="n"/>
      <c r="E81" s="5" t="n"/>
      <c r="F81" s="5" t="n"/>
      <c r="G81" s="6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7">
        <f>IF(OR($C81="",T81=""),"",T81-AVERAGEIF($C:$C,$C81,$T:$T))</f>
        <v/>
      </c>
      <c r="W81" s="7">
        <f>IF(OR($C81="",U81=""),"",U81-AVERAGEIF($C:$C,$C81,$U:$U))</f>
        <v/>
      </c>
      <c r="X81" s="5" t="n"/>
      <c r="Y81" s="5" t="n"/>
      <c r="Z81" s="6" t="n"/>
      <c r="AA81" s="5" t="n"/>
      <c r="AB81" s="5" t="n"/>
      <c r="AC81" s="5" t="n"/>
      <c r="AD81" s="5" t="n"/>
      <c r="AE81" s="5" t="n"/>
      <c r="AF81" s="6" t="n"/>
      <c r="AG81" s="6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7">
        <f>IF(AQ81="","",AQ81)</f>
        <v/>
      </c>
      <c r="AT81" s="7">
        <f>IF(OR(AQ81="",AI81=""),"",AQ81-AI81)</f>
        <v/>
      </c>
      <c r="AU81" s="8">
        <f>IF(OR(AT81="",AQ81=""),"",AT81/AQ81)</f>
        <v/>
      </c>
      <c r="AV81" s="5" t="n"/>
      <c r="AW81" s="5" t="n"/>
      <c r="AX81" s="5" t="n"/>
      <c r="AY81" s="5" t="n"/>
      <c r="AZ81" s="5" t="n"/>
      <c r="BA81" s="6" t="n"/>
      <c r="BB81" s="5" t="n"/>
      <c r="BC81" s="6" t="n"/>
      <c r="BD81" s="6" t="n"/>
    </row>
    <row r="82">
      <c r="A82" s="5" t="n"/>
      <c r="B82" s="5" t="n"/>
      <c r="C82" s="5" t="n"/>
      <c r="D82" s="5" t="n"/>
      <c r="E82" s="5" t="n"/>
      <c r="F82" s="5" t="n"/>
      <c r="G82" s="6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7">
        <f>IF(OR($C82="",T82=""),"",T82-AVERAGEIF($C:$C,$C82,$T:$T))</f>
        <v/>
      </c>
      <c r="W82" s="7">
        <f>IF(OR($C82="",U82=""),"",U82-AVERAGEIF($C:$C,$C82,$U:$U))</f>
        <v/>
      </c>
      <c r="X82" s="5" t="n"/>
      <c r="Y82" s="5" t="n"/>
      <c r="Z82" s="6" t="n"/>
      <c r="AA82" s="5" t="n"/>
      <c r="AB82" s="5" t="n"/>
      <c r="AC82" s="5" t="n"/>
      <c r="AD82" s="5" t="n"/>
      <c r="AE82" s="5" t="n"/>
      <c r="AF82" s="6" t="n"/>
      <c r="AG82" s="6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7">
        <f>IF(AQ82="","",AQ82)</f>
        <v/>
      </c>
      <c r="AT82" s="7">
        <f>IF(OR(AQ82="",AI82=""),"",AQ82-AI82)</f>
        <v/>
      </c>
      <c r="AU82" s="8">
        <f>IF(OR(AT82="",AQ82=""),"",AT82/AQ82)</f>
        <v/>
      </c>
      <c r="AV82" s="5" t="n"/>
      <c r="AW82" s="5" t="n"/>
      <c r="AX82" s="5" t="n"/>
      <c r="AY82" s="5" t="n"/>
      <c r="AZ82" s="5" t="n"/>
      <c r="BA82" s="6" t="n"/>
      <c r="BB82" s="5" t="n"/>
      <c r="BC82" s="6" t="n"/>
      <c r="BD82" s="6" t="n"/>
    </row>
    <row r="83">
      <c r="A83" s="5" t="n"/>
      <c r="B83" s="5" t="n"/>
      <c r="C83" s="5" t="n"/>
      <c r="D83" s="5" t="n"/>
      <c r="E83" s="5" t="n"/>
      <c r="F83" s="5" t="n"/>
      <c r="G83" s="6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7">
        <f>IF(OR($C83="",T83=""),"",T83-AVERAGEIF($C:$C,$C83,$T:$T))</f>
        <v/>
      </c>
      <c r="W83" s="7">
        <f>IF(OR($C83="",U83=""),"",U83-AVERAGEIF($C:$C,$C83,$U:$U))</f>
        <v/>
      </c>
      <c r="X83" s="5" t="n"/>
      <c r="Y83" s="5" t="n"/>
      <c r="Z83" s="6" t="n"/>
      <c r="AA83" s="5" t="n"/>
      <c r="AB83" s="5" t="n"/>
      <c r="AC83" s="5" t="n"/>
      <c r="AD83" s="5" t="n"/>
      <c r="AE83" s="5" t="n"/>
      <c r="AF83" s="6" t="n"/>
      <c r="AG83" s="6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7">
        <f>IF(AQ83="","",AQ83)</f>
        <v/>
      </c>
      <c r="AT83" s="7">
        <f>IF(OR(AQ83="",AI83=""),"",AQ83-AI83)</f>
        <v/>
      </c>
      <c r="AU83" s="8">
        <f>IF(OR(AT83="",AQ83=""),"",AT83/AQ83)</f>
        <v/>
      </c>
      <c r="AV83" s="5" t="n"/>
      <c r="AW83" s="5" t="n"/>
      <c r="AX83" s="5" t="n"/>
      <c r="AY83" s="5" t="n"/>
      <c r="AZ83" s="5" t="n"/>
      <c r="BA83" s="6" t="n"/>
      <c r="BB83" s="5" t="n"/>
      <c r="BC83" s="6" t="n"/>
      <c r="BD83" s="6" t="n"/>
    </row>
    <row r="84">
      <c r="A84" s="5" t="n"/>
      <c r="B84" s="5" t="n"/>
      <c r="C84" s="5" t="n"/>
      <c r="D84" s="5" t="n"/>
      <c r="E84" s="5" t="n"/>
      <c r="F84" s="5" t="n"/>
      <c r="G84" s="6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7">
        <f>IF(OR($C84="",T84=""),"",T84-AVERAGEIF($C:$C,$C84,$T:$T))</f>
        <v/>
      </c>
      <c r="W84" s="7">
        <f>IF(OR($C84="",U84=""),"",U84-AVERAGEIF($C:$C,$C84,$U:$U))</f>
        <v/>
      </c>
      <c r="X84" s="5" t="n"/>
      <c r="Y84" s="5" t="n"/>
      <c r="Z84" s="6" t="n"/>
      <c r="AA84" s="5" t="n"/>
      <c r="AB84" s="5" t="n"/>
      <c r="AC84" s="5" t="n"/>
      <c r="AD84" s="5" t="n"/>
      <c r="AE84" s="5" t="n"/>
      <c r="AF84" s="6" t="n"/>
      <c r="AG84" s="6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7">
        <f>IF(AQ84="","",AQ84)</f>
        <v/>
      </c>
      <c r="AT84" s="7">
        <f>IF(OR(AQ84="",AI84=""),"",AQ84-AI84)</f>
        <v/>
      </c>
      <c r="AU84" s="8">
        <f>IF(OR(AT84="",AQ84=""),"",AT84/AQ84)</f>
        <v/>
      </c>
      <c r="AV84" s="5" t="n"/>
      <c r="AW84" s="5" t="n"/>
      <c r="AX84" s="5" t="n"/>
      <c r="AY84" s="5" t="n"/>
      <c r="AZ84" s="5" t="n"/>
      <c r="BA84" s="6" t="n"/>
      <c r="BB84" s="5" t="n"/>
      <c r="BC84" s="6" t="n"/>
      <c r="BD84" s="6" t="n"/>
    </row>
    <row r="85">
      <c r="A85" s="5" t="n"/>
      <c r="B85" s="5" t="n"/>
      <c r="C85" s="5" t="n"/>
      <c r="D85" s="5" t="n"/>
      <c r="E85" s="5" t="n"/>
      <c r="F85" s="5" t="n"/>
      <c r="G85" s="6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7">
        <f>IF(OR($C85="",T85=""),"",T85-AVERAGEIF($C:$C,$C85,$T:$T))</f>
        <v/>
      </c>
      <c r="W85" s="7">
        <f>IF(OR($C85="",U85=""),"",U85-AVERAGEIF($C:$C,$C85,$U:$U))</f>
        <v/>
      </c>
      <c r="X85" s="5" t="n"/>
      <c r="Y85" s="5" t="n"/>
      <c r="Z85" s="6" t="n"/>
      <c r="AA85" s="5" t="n"/>
      <c r="AB85" s="5" t="n"/>
      <c r="AC85" s="5" t="n"/>
      <c r="AD85" s="5" t="n"/>
      <c r="AE85" s="5" t="n"/>
      <c r="AF85" s="6" t="n"/>
      <c r="AG85" s="6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7">
        <f>IF(AQ85="","",AQ85)</f>
        <v/>
      </c>
      <c r="AT85" s="7">
        <f>IF(OR(AQ85="",AI85=""),"",AQ85-AI85)</f>
        <v/>
      </c>
      <c r="AU85" s="8">
        <f>IF(OR(AT85="",AQ85=""),"",AT85/AQ85)</f>
        <v/>
      </c>
      <c r="AV85" s="5" t="n"/>
      <c r="AW85" s="5" t="n"/>
      <c r="AX85" s="5" t="n"/>
      <c r="AY85" s="5" t="n"/>
      <c r="AZ85" s="5" t="n"/>
      <c r="BA85" s="6" t="n"/>
      <c r="BB85" s="5" t="n"/>
      <c r="BC85" s="6" t="n"/>
      <c r="BD85" s="6" t="n"/>
    </row>
    <row r="86">
      <c r="A86" s="5" t="n"/>
      <c r="B86" s="5" t="n"/>
      <c r="C86" s="5" t="n"/>
      <c r="D86" s="5" t="n"/>
      <c r="E86" s="5" t="n"/>
      <c r="F86" s="5" t="n"/>
      <c r="G86" s="6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7">
        <f>IF(OR($C86="",T86=""),"",T86-AVERAGEIF($C:$C,$C86,$T:$T))</f>
        <v/>
      </c>
      <c r="W86" s="7">
        <f>IF(OR($C86="",U86=""),"",U86-AVERAGEIF($C:$C,$C86,$U:$U))</f>
        <v/>
      </c>
      <c r="X86" s="5" t="n"/>
      <c r="Y86" s="5" t="n"/>
      <c r="Z86" s="6" t="n"/>
      <c r="AA86" s="5" t="n"/>
      <c r="AB86" s="5" t="n"/>
      <c r="AC86" s="5" t="n"/>
      <c r="AD86" s="5" t="n"/>
      <c r="AE86" s="5" t="n"/>
      <c r="AF86" s="6" t="n"/>
      <c r="AG86" s="6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7">
        <f>IF(AQ86="","",AQ86)</f>
        <v/>
      </c>
      <c r="AT86" s="7">
        <f>IF(OR(AQ86="",AI86=""),"",AQ86-AI86)</f>
        <v/>
      </c>
      <c r="AU86" s="8">
        <f>IF(OR(AT86="",AQ86=""),"",AT86/AQ86)</f>
        <v/>
      </c>
      <c r="AV86" s="5" t="n"/>
      <c r="AW86" s="5" t="n"/>
      <c r="AX86" s="5" t="n"/>
      <c r="AY86" s="5" t="n"/>
      <c r="AZ86" s="5" t="n"/>
      <c r="BA86" s="6" t="n"/>
      <c r="BB86" s="5" t="n"/>
      <c r="BC86" s="6" t="n"/>
      <c r="BD86" s="6" t="n"/>
    </row>
    <row r="87">
      <c r="A87" s="5" t="n"/>
      <c r="B87" s="5" t="n"/>
      <c r="C87" s="5" t="n"/>
      <c r="D87" s="5" t="n"/>
      <c r="E87" s="5" t="n"/>
      <c r="F87" s="5" t="n"/>
      <c r="G87" s="6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7">
        <f>IF(OR($C87="",T87=""),"",T87-AVERAGEIF($C:$C,$C87,$T:$T))</f>
        <v/>
      </c>
      <c r="W87" s="7">
        <f>IF(OR($C87="",U87=""),"",U87-AVERAGEIF($C:$C,$C87,$U:$U))</f>
        <v/>
      </c>
      <c r="X87" s="5" t="n"/>
      <c r="Y87" s="5" t="n"/>
      <c r="Z87" s="6" t="n"/>
      <c r="AA87" s="5" t="n"/>
      <c r="AB87" s="5" t="n"/>
      <c r="AC87" s="5" t="n"/>
      <c r="AD87" s="5" t="n"/>
      <c r="AE87" s="5" t="n"/>
      <c r="AF87" s="6" t="n"/>
      <c r="AG87" s="6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7">
        <f>IF(AQ87="","",AQ87)</f>
        <v/>
      </c>
      <c r="AT87" s="7">
        <f>IF(OR(AQ87="",AI87=""),"",AQ87-AI87)</f>
        <v/>
      </c>
      <c r="AU87" s="8">
        <f>IF(OR(AT87="",AQ87=""),"",AT87/AQ87)</f>
        <v/>
      </c>
      <c r="AV87" s="5" t="n"/>
      <c r="AW87" s="5" t="n"/>
      <c r="AX87" s="5" t="n"/>
      <c r="AY87" s="5" t="n"/>
      <c r="AZ87" s="5" t="n"/>
      <c r="BA87" s="6" t="n"/>
      <c r="BB87" s="5" t="n"/>
      <c r="BC87" s="6" t="n"/>
      <c r="BD87" s="6" t="n"/>
    </row>
    <row r="88">
      <c r="A88" s="5" t="n"/>
      <c r="B88" s="5" t="n"/>
      <c r="C88" s="5" t="n"/>
      <c r="D88" s="5" t="n"/>
      <c r="E88" s="5" t="n"/>
      <c r="F88" s="5" t="n"/>
      <c r="G88" s="6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7">
        <f>IF(OR($C88="",T88=""),"",T88-AVERAGEIF($C:$C,$C88,$T:$T))</f>
        <v/>
      </c>
      <c r="W88" s="7">
        <f>IF(OR($C88="",U88=""),"",U88-AVERAGEIF($C:$C,$C88,$U:$U))</f>
        <v/>
      </c>
      <c r="X88" s="5" t="n"/>
      <c r="Y88" s="5" t="n"/>
      <c r="Z88" s="6" t="n"/>
      <c r="AA88" s="5" t="n"/>
      <c r="AB88" s="5" t="n"/>
      <c r="AC88" s="5" t="n"/>
      <c r="AD88" s="5" t="n"/>
      <c r="AE88" s="5" t="n"/>
      <c r="AF88" s="6" t="n"/>
      <c r="AG88" s="6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7">
        <f>IF(AQ88="","",AQ88)</f>
        <v/>
      </c>
      <c r="AT88" s="7">
        <f>IF(OR(AQ88="",AI88=""),"",AQ88-AI88)</f>
        <v/>
      </c>
      <c r="AU88" s="8">
        <f>IF(OR(AT88="",AQ88=""),"",AT88/AQ88)</f>
        <v/>
      </c>
      <c r="AV88" s="5" t="n"/>
      <c r="AW88" s="5" t="n"/>
      <c r="AX88" s="5" t="n"/>
      <c r="AY88" s="5" t="n"/>
      <c r="AZ88" s="5" t="n"/>
      <c r="BA88" s="6" t="n"/>
      <c r="BB88" s="5" t="n"/>
      <c r="BC88" s="6" t="n"/>
      <c r="BD88" s="6" t="n"/>
    </row>
    <row r="89">
      <c r="A89" s="5" t="n"/>
      <c r="B89" s="5" t="n"/>
      <c r="C89" s="5" t="n"/>
      <c r="D89" s="5" t="n"/>
      <c r="E89" s="5" t="n"/>
      <c r="F89" s="5" t="n"/>
      <c r="G89" s="6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7">
        <f>IF(OR($C89="",T89=""),"",T89-AVERAGEIF($C:$C,$C89,$T:$T))</f>
        <v/>
      </c>
      <c r="W89" s="7">
        <f>IF(OR($C89="",U89=""),"",U89-AVERAGEIF($C:$C,$C89,$U:$U))</f>
        <v/>
      </c>
      <c r="X89" s="5" t="n"/>
      <c r="Y89" s="5" t="n"/>
      <c r="Z89" s="6" t="n"/>
      <c r="AA89" s="5" t="n"/>
      <c r="AB89" s="5" t="n"/>
      <c r="AC89" s="5" t="n"/>
      <c r="AD89" s="5" t="n"/>
      <c r="AE89" s="5" t="n"/>
      <c r="AF89" s="6" t="n"/>
      <c r="AG89" s="6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7">
        <f>IF(AQ89="","",AQ89)</f>
        <v/>
      </c>
      <c r="AT89" s="7">
        <f>IF(OR(AQ89="",AI89=""),"",AQ89-AI89)</f>
        <v/>
      </c>
      <c r="AU89" s="8">
        <f>IF(OR(AT89="",AQ89=""),"",AT89/AQ89)</f>
        <v/>
      </c>
      <c r="AV89" s="5" t="n"/>
      <c r="AW89" s="5" t="n"/>
      <c r="AX89" s="5" t="n"/>
      <c r="AY89" s="5" t="n"/>
      <c r="AZ89" s="5" t="n"/>
      <c r="BA89" s="6" t="n"/>
      <c r="BB89" s="5" t="n"/>
      <c r="BC89" s="6" t="n"/>
      <c r="BD89" s="6" t="n"/>
    </row>
    <row r="90">
      <c r="A90" s="5" t="n"/>
      <c r="B90" s="5" t="n"/>
      <c r="C90" s="5" t="n"/>
      <c r="D90" s="5" t="n"/>
      <c r="E90" s="5" t="n"/>
      <c r="F90" s="5" t="n"/>
      <c r="G90" s="6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7">
        <f>IF(OR($C90="",T90=""),"",T90-AVERAGEIF($C:$C,$C90,$T:$T))</f>
        <v/>
      </c>
      <c r="W90" s="7">
        <f>IF(OR($C90="",U90=""),"",U90-AVERAGEIF($C:$C,$C90,$U:$U))</f>
        <v/>
      </c>
      <c r="X90" s="5" t="n"/>
      <c r="Y90" s="5" t="n"/>
      <c r="Z90" s="6" t="n"/>
      <c r="AA90" s="5" t="n"/>
      <c r="AB90" s="5" t="n"/>
      <c r="AC90" s="5" t="n"/>
      <c r="AD90" s="5" t="n"/>
      <c r="AE90" s="5" t="n"/>
      <c r="AF90" s="6" t="n"/>
      <c r="AG90" s="6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7">
        <f>IF(AQ90="","",AQ90)</f>
        <v/>
      </c>
      <c r="AT90" s="7">
        <f>IF(OR(AQ90="",AI90=""),"",AQ90-AI90)</f>
        <v/>
      </c>
      <c r="AU90" s="8">
        <f>IF(OR(AT90="",AQ90=""),"",AT90/AQ90)</f>
        <v/>
      </c>
      <c r="AV90" s="5" t="n"/>
      <c r="AW90" s="5" t="n"/>
      <c r="AX90" s="5" t="n"/>
      <c r="AY90" s="5" t="n"/>
      <c r="AZ90" s="5" t="n"/>
      <c r="BA90" s="6" t="n"/>
      <c r="BB90" s="5" t="n"/>
      <c r="BC90" s="6" t="n"/>
      <c r="BD90" s="6" t="n"/>
    </row>
    <row r="91">
      <c r="A91" s="5" t="n"/>
      <c r="B91" s="5" t="n"/>
      <c r="C91" s="5" t="n"/>
      <c r="D91" s="5" t="n"/>
      <c r="E91" s="5" t="n"/>
      <c r="F91" s="5" t="n"/>
      <c r="G91" s="6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7">
        <f>IF(OR($C91="",T91=""),"",T91-AVERAGEIF($C:$C,$C91,$T:$T))</f>
        <v/>
      </c>
      <c r="W91" s="7">
        <f>IF(OR($C91="",U91=""),"",U91-AVERAGEIF($C:$C,$C91,$U:$U))</f>
        <v/>
      </c>
      <c r="X91" s="5" t="n"/>
      <c r="Y91" s="5" t="n"/>
      <c r="Z91" s="6" t="n"/>
      <c r="AA91" s="5" t="n"/>
      <c r="AB91" s="5" t="n"/>
      <c r="AC91" s="5" t="n"/>
      <c r="AD91" s="5" t="n"/>
      <c r="AE91" s="5" t="n"/>
      <c r="AF91" s="6" t="n"/>
      <c r="AG91" s="6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7">
        <f>IF(AQ91="","",AQ91)</f>
        <v/>
      </c>
      <c r="AT91" s="7">
        <f>IF(OR(AQ91="",AI91=""),"",AQ91-AI91)</f>
        <v/>
      </c>
      <c r="AU91" s="8">
        <f>IF(OR(AT91="",AQ91=""),"",AT91/AQ91)</f>
        <v/>
      </c>
      <c r="AV91" s="5" t="n"/>
      <c r="AW91" s="5" t="n"/>
      <c r="AX91" s="5" t="n"/>
      <c r="AY91" s="5" t="n"/>
      <c r="AZ91" s="5" t="n"/>
      <c r="BA91" s="6" t="n"/>
      <c r="BB91" s="5" t="n"/>
      <c r="BC91" s="6" t="n"/>
      <c r="BD91" s="6" t="n"/>
    </row>
    <row r="92">
      <c r="A92" s="5" t="n"/>
      <c r="B92" s="5" t="n"/>
      <c r="C92" s="5" t="n"/>
      <c r="D92" s="5" t="n"/>
      <c r="E92" s="5" t="n"/>
      <c r="F92" s="5" t="n"/>
      <c r="G92" s="6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7">
        <f>IF(OR($C92="",T92=""),"",T92-AVERAGEIF($C:$C,$C92,$T:$T))</f>
        <v/>
      </c>
      <c r="W92" s="7">
        <f>IF(OR($C92="",U92=""),"",U92-AVERAGEIF($C:$C,$C92,$U:$U))</f>
        <v/>
      </c>
      <c r="X92" s="5" t="n"/>
      <c r="Y92" s="5" t="n"/>
      <c r="Z92" s="6" t="n"/>
      <c r="AA92" s="5" t="n"/>
      <c r="AB92" s="5" t="n"/>
      <c r="AC92" s="5" t="n"/>
      <c r="AD92" s="5" t="n"/>
      <c r="AE92" s="5" t="n"/>
      <c r="AF92" s="6" t="n"/>
      <c r="AG92" s="6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7">
        <f>IF(AQ92="","",AQ92)</f>
        <v/>
      </c>
      <c r="AT92" s="7">
        <f>IF(OR(AQ92="",AI92=""),"",AQ92-AI92)</f>
        <v/>
      </c>
      <c r="AU92" s="8">
        <f>IF(OR(AT92="",AQ92=""),"",AT92/AQ92)</f>
        <v/>
      </c>
      <c r="AV92" s="5" t="n"/>
      <c r="AW92" s="5" t="n"/>
      <c r="AX92" s="5" t="n"/>
      <c r="AY92" s="5" t="n"/>
      <c r="AZ92" s="5" t="n"/>
      <c r="BA92" s="6" t="n"/>
      <c r="BB92" s="5" t="n"/>
      <c r="BC92" s="6" t="n"/>
      <c r="BD92" s="6" t="n"/>
    </row>
    <row r="93">
      <c r="A93" s="5" t="n"/>
      <c r="B93" s="5" t="n"/>
      <c r="C93" s="5" t="n"/>
      <c r="D93" s="5" t="n"/>
      <c r="E93" s="5" t="n"/>
      <c r="F93" s="5" t="n"/>
      <c r="G93" s="6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7">
        <f>IF(OR($C93="",T93=""),"",T93-AVERAGEIF($C:$C,$C93,$T:$T))</f>
        <v/>
      </c>
      <c r="W93" s="7">
        <f>IF(OR($C93="",U93=""),"",U93-AVERAGEIF($C:$C,$C93,$U:$U))</f>
        <v/>
      </c>
      <c r="X93" s="5" t="n"/>
      <c r="Y93" s="5" t="n"/>
      <c r="Z93" s="6" t="n"/>
      <c r="AA93" s="5" t="n"/>
      <c r="AB93" s="5" t="n"/>
      <c r="AC93" s="5" t="n"/>
      <c r="AD93" s="5" t="n"/>
      <c r="AE93" s="5" t="n"/>
      <c r="AF93" s="6" t="n"/>
      <c r="AG93" s="6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7">
        <f>IF(AQ93="","",AQ93)</f>
        <v/>
      </c>
      <c r="AT93" s="7">
        <f>IF(OR(AQ93="",AI93=""),"",AQ93-AI93)</f>
        <v/>
      </c>
      <c r="AU93" s="8">
        <f>IF(OR(AT93="",AQ93=""),"",AT93/AQ93)</f>
        <v/>
      </c>
      <c r="AV93" s="5" t="n"/>
      <c r="AW93" s="5" t="n"/>
      <c r="AX93" s="5" t="n"/>
      <c r="AY93" s="5" t="n"/>
      <c r="AZ93" s="5" t="n"/>
      <c r="BA93" s="6" t="n"/>
      <c r="BB93" s="5" t="n"/>
      <c r="BC93" s="6" t="n"/>
      <c r="BD93" s="6" t="n"/>
    </row>
    <row r="94">
      <c r="A94" s="5" t="n"/>
      <c r="B94" s="5" t="n"/>
      <c r="C94" s="5" t="n"/>
      <c r="D94" s="5" t="n"/>
      <c r="E94" s="5" t="n"/>
      <c r="F94" s="5" t="n"/>
      <c r="G94" s="6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7">
        <f>IF(OR($C94="",T94=""),"",T94-AVERAGEIF($C:$C,$C94,$T:$T))</f>
        <v/>
      </c>
      <c r="W94" s="7">
        <f>IF(OR($C94="",U94=""),"",U94-AVERAGEIF($C:$C,$C94,$U:$U))</f>
        <v/>
      </c>
      <c r="X94" s="5" t="n"/>
      <c r="Y94" s="5" t="n"/>
      <c r="Z94" s="6" t="n"/>
      <c r="AA94" s="5" t="n"/>
      <c r="AB94" s="5" t="n"/>
      <c r="AC94" s="5" t="n"/>
      <c r="AD94" s="5" t="n"/>
      <c r="AE94" s="5" t="n"/>
      <c r="AF94" s="6" t="n"/>
      <c r="AG94" s="6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7">
        <f>IF(AQ94="","",AQ94)</f>
        <v/>
      </c>
      <c r="AT94" s="7">
        <f>IF(OR(AQ94="",AI94=""),"",AQ94-AI94)</f>
        <v/>
      </c>
      <c r="AU94" s="8">
        <f>IF(OR(AT94="",AQ94=""),"",AT94/AQ94)</f>
        <v/>
      </c>
      <c r="AV94" s="5" t="n"/>
      <c r="AW94" s="5" t="n"/>
      <c r="AX94" s="5" t="n"/>
      <c r="AY94" s="5" t="n"/>
      <c r="AZ94" s="5" t="n"/>
      <c r="BA94" s="6" t="n"/>
      <c r="BB94" s="5" t="n"/>
      <c r="BC94" s="6" t="n"/>
      <c r="BD94" s="6" t="n"/>
    </row>
    <row r="95">
      <c r="A95" s="5" t="n"/>
      <c r="B95" s="5" t="n"/>
      <c r="C95" s="5" t="n"/>
      <c r="D95" s="5" t="n"/>
      <c r="E95" s="5" t="n"/>
      <c r="F95" s="5" t="n"/>
      <c r="G95" s="6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7">
        <f>IF(OR($C95="",T95=""),"",T95-AVERAGEIF($C:$C,$C95,$T:$T))</f>
        <v/>
      </c>
      <c r="W95" s="7">
        <f>IF(OR($C95="",U95=""),"",U95-AVERAGEIF($C:$C,$C95,$U:$U))</f>
        <v/>
      </c>
      <c r="X95" s="5" t="n"/>
      <c r="Y95" s="5" t="n"/>
      <c r="Z95" s="6" t="n"/>
      <c r="AA95" s="5" t="n"/>
      <c r="AB95" s="5" t="n"/>
      <c r="AC95" s="5" t="n"/>
      <c r="AD95" s="5" t="n"/>
      <c r="AE95" s="5" t="n"/>
      <c r="AF95" s="6" t="n"/>
      <c r="AG95" s="6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7">
        <f>IF(AQ95="","",AQ95)</f>
        <v/>
      </c>
      <c r="AT95" s="7">
        <f>IF(OR(AQ95="",AI95=""),"",AQ95-AI95)</f>
        <v/>
      </c>
      <c r="AU95" s="8">
        <f>IF(OR(AT95="",AQ95=""),"",AT95/AQ95)</f>
        <v/>
      </c>
      <c r="AV95" s="5" t="n"/>
      <c r="AW95" s="5" t="n"/>
      <c r="AX95" s="5" t="n"/>
      <c r="AY95" s="5" t="n"/>
      <c r="AZ95" s="5" t="n"/>
      <c r="BA95" s="6" t="n"/>
      <c r="BB95" s="5" t="n"/>
      <c r="BC95" s="6" t="n"/>
      <c r="BD95" s="6" t="n"/>
    </row>
    <row r="96">
      <c r="A96" s="5" t="n"/>
      <c r="B96" s="5" t="n"/>
      <c r="C96" s="5" t="n"/>
      <c r="D96" s="5" t="n"/>
      <c r="E96" s="5" t="n"/>
      <c r="F96" s="5" t="n"/>
      <c r="G96" s="6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7">
        <f>IF(OR($C96="",T96=""),"",T96-AVERAGEIF($C:$C,$C96,$T:$T))</f>
        <v/>
      </c>
      <c r="W96" s="7">
        <f>IF(OR($C96="",U96=""),"",U96-AVERAGEIF($C:$C,$C96,$U:$U))</f>
        <v/>
      </c>
      <c r="X96" s="5" t="n"/>
      <c r="Y96" s="5" t="n"/>
      <c r="Z96" s="6" t="n"/>
      <c r="AA96" s="5" t="n"/>
      <c r="AB96" s="5" t="n"/>
      <c r="AC96" s="5" t="n"/>
      <c r="AD96" s="5" t="n"/>
      <c r="AE96" s="5" t="n"/>
      <c r="AF96" s="6" t="n"/>
      <c r="AG96" s="6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7">
        <f>IF(AQ96="","",AQ96)</f>
        <v/>
      </c>
      <c r="AT96" s="7">
        <f>IF(OR(AQ96="",AI96=""),"",AQ96-AI96)</f>
        <v/>
      </c>
      <c r="AU96" s="8">
        <f>IF(OR(AT96="",AQ96=""),"",AT96/AQ96)</f>
        <v/>
      </c>
      <c r="AV96" s="5" t="n"/>
      <c r="AW96" s="5" t="n"/>
      <c r="AX96" s="5" t="n"/>
      <c r="AY96" s="5" t="n"/>
      <c r="AZ96" s="5" t="n"/>
      <c r="BA96" s="6" t="n"/>
      <c r="BB96" s="5" t="n"/>
      <c r="BC96" s="6" t="n"/>
      <c r="BD96" s="6" t="n"/>
    </row>
    <row r="97">
      <c r="A97" s="5" t="n"/>
      <c r="B97" s="5" t="n"/>
      <c r="C97" s="5" t="n"/>
      <c r="D97" s="5" t="n"/>
      <c r="E97" s="5" t="n"/>
      <c r="F97" s="5" t="n"/>
      <c r="G97" s="6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7">
        <f>IF(OR($C97="",T97=""),"",T97-AVERAGEIF($C:$C,$C97,$T:$T))</f>
        <v/>
      </c>
      <c r="W97" s="7">
        <f>IF(OR($C97="",U97=""),"",U97-AVERAGEIF($C:$C,$C97,$U:$U))</f>
        <v/>
      </c>
      <c r="X97" s="5" t="n"/>
      <c r="Y97" s="5" t="n"/>
      <c r="Z97" s="6" t="n"/>
      <c r="AA97" s="5" t="n"/>
      <c r="AB97" s="5" t="n"/>
      <c r="AC97" s="5" t="n"/>
      <c r="AD97" s="5" t="n"/>
      <c r="AE97" s="5" t="n"/>
      <c r="AF97" s="6" t="n"/>
      <c r="AG97" s="6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7">
        <f>IF(AQ97="","",AQ97)</f>
        <v/>
      </c>
      <c r="AT97" s="7">
        <f>IF(OR(AQ97="",AI97=""),"",AQ97-AI97)</f>
        <v/>
      </c>
      <c r="AU97" s="8">
        <f>IF(OR(AT97="",AQ97=""),"",AT97/AQ97)</f>
        <v/>
      </c>
      <c r="AV97" s="5" t="n"/>
      <c r="AW97" s="5" t="n"/>
      <c r="AX97" s="5" t="n"/>
      <c r="AY97" s="5" t="n"/>
      <c r="AZ97" s="5" t="n"/>
      <c r="BA97" s="6" t="n"/>
      <c r="BB97" s="5" t="n"/>
      <c r="BC97" s="6" t="n"/>
      <c r="BD97" s="6" t="n"/>
    </row>
    <row r="98">
      <c r="A98" s="5" t="n"/>
      <c r="B98" s="5" t="n"/>
      <c r="C98" s="5" t="n"/>
      <c r="D98" s="5" t="n"/>
      <c r="E98" s="5" t="n"/>
      <c r="F98" s="5" t="n"/>
      <c r="G98" s="6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7">
        <f>IF(OR($C98="",T98=""),"",T98-AVERAGEIF($C:$C,$C98,$T:$T))</f>
        <v/>
      </c>
      <c r="W98" s="7">
        <f>IF(OR($C98="",U98=""),"",U98-AVERAGEIF($C:$C,$C98,$U:$U))</f>
        <v/>
      </c>
      <c r="X98" s="5" t="n"/>
      <c r="Y98" s="5" t="n"/>
      <c r="Z98" s="6" t="n"/>
      <c r="AA98" s="5" t="n"/>
      <c r="AB98" s="5" t="n"/>
      <c r="AC98" s="5" t="n"/>
      <c r="AD98" s="5" t="n"/>
      <c r="AE98" s="5" t="n"/>
      <c r="AF98" s="6" t="n"/>
      <c r="AG98" s="6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7">
        <f>IF(AQ98="","",AQ98)</f>
        <v/>
      </c>
      <c r="AT98" s="7">
        <f>IF(OR(AQ98="",AI98=""),"",AQ98-AI98)</f>
        <v/>
      </c>
      <c r="AU98" s="8">
        <f>IF(OR(AT98="",AQ98=""),"",AT98/AQ98)</f>
        <v/>
      </c>
      <c r="AV98" s="5" t="n"/>
      <c r="AW98" s="5" t="n"/>
      <c r="AX98" s="5" t="n"/>
      <c r="AY98" s="5" t="n"/>
      <c r="AZ98" s="5" t="n"/>
      <c r="BA98" s="6" t="n"/>
      <c r="BB98" s="5" t="n"/>
      <c r="BC98" s="6" t="n"/>
      <c r="BD98" s="6" t="n"/>
    </row>
    <row r="99">
      <c r="A99" s="5" t="n"/>
      <c r="B99" s="5" t="n"/>
      <c r="C99" s="5" t="n"/>
      <c r="D99" s="5" t="n"/>
      <c r="E99" s="5" t="n"/>
      <c r="F99" s="5" t="n"/>
      <c r="G99" s="6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7">
        <f>IF(OR($C99="",T99=""),"",T99-AVERAGEIF($C:$C,$C99,$T:$T))</f>
        <v/>
      </c>
      <c r="W99" s="7">
        <f>IF(OR($C99="",U99=""),"",U99-AVERAGEIF($C:$C,$C99,$U:$U))</f>
        <v/>
      </c>
      <c r="X99" s="5" t="n"/>
      <c r="Y99" s="5" t="n"/>
      <c r="Z99" s="6" t="n"/>
      <c r="AA99" s="5" t="n"/>
      <c r="AB99" s="5" t="n"/>
      <c r="AC99" s="5" t="n"/>
      <c r="AD99" s="5" t="n"/>
      <c r="AE99" s="5" t="n"/>
      <c r="AF99" s="6" t="n"/>
      <c r="AG99" s="6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7">
        <f>IF(AQ99="","",AQ99)</f>
        <v/>
      </c>
      <c r="AT99" s="7">
        <f>IF(OR(AQ99="",AI99=""),"",AQ99-AI99)</f>
        <v/>
      </c>
      <c r="AU99" s="8">
        <f>IF(OR(AT99="",AQ99=""),"",AT99/AQ99)</f>
        <v/>
      </c>
      <c r="AV99" s="5" t="n"/>
      <c r="AW99" s="5" t="n"/>
      <c r="AX99" s="5" t="n"/>
      <c r="AY99" s="5" t="n"/>
      <c r="AZ99" s="5" t="n"/>
      <c r="BA99" s="6" t="n"/>
      <c r="BB99" s="5" t="n"/>
      <c r="BC99" s="6" t="n"/>
      <c r="BD99" s="6" t="n"/>
    </row>
    <row r="100">
      <c r="A100" s="5" t="n"/>
      <c r="B100" s="5" t="n"/>
      <c r="C100" s="5" t="n"/>
      <c r="D100" s="5" t="n"/>
      <c r="E100" s="5" t="n"/>
      <c r="F100" s="5" t="n"/>
      <c r="G100" s="6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7">
        <f>IF(OR($C100="",T100=""),"",T100-AVERAGEIF($C:$C,$C100,$T:$T))</f>
        <v/>
      </c>
      <c r="W100" s="7">
        <f>IF(OR($C100="",U100=""),"",U100-AVERAGEIF($C:$C,$C100,$U:$U))</f>
        <v/>
      </c>
      <c r="X100" s="5" t="n"/>
      <c r="Y100" s="5" t="n"/>
      <c r="Z100" s="6" t="n"/>
      <c r="AA100" s="5" t="n"/>
      <c r="AB100" s="5" t="n"/>
      <c r="AC100" s="5" t="n"/>
      <c r="AD100" s="5" t="n"/>
      <c r="AE100" s="5" t="n"/>
      <c r="AF100" s="6" t="n"/>
      <c r="AG100" s="6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7">
        <f>IF(AQ100="","",AQ100)</f>
        <v/>
      </c>
      <c r="AT100" s="7">
        <f>IF(OR(AQ100="",AI100=""),"",AQ100-AI100)</f>
        <v/>
      </c>
      <c r="AU100" s="8">
        <f>IF(OR(AT100="",AQ100=""),"",AT100/AQ100)</f>
        <v/>
      </c>
      <c r="AV100" s="5" t="n"/>
      <c r="AW100" s="5" t="n"/>
      <c r="AX100" s="5" t="n"/>
      <c r="AY100" s="5" t="n"/>
      <c r="AZ100" s="5" t="n"/>
      <c r="BA100" s="6" t="n"/>
      <c r="BB100" s="5" t="n"/>
      <c r="BC100" s="6" t="n"/>
      <c r="BD100" s="6" t="n"/>
    </row>
    <row r="101">
      <c r="A101" s="5" t="n"/>
      <c r="B101" s="5" t="n"/>
      <c r="C101" s="5" t="n"/>
      <c r="D101" s="5" t="n"/>
      <c r="E101" s="5" t="n"/>
      <c r="F101" s="5" t="n"/>
      <c r="G101" s="6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7">
        <f>IF(OR($C101="",T101=""),"",T101-AVERAGEIF($C:$C,$C101,$T:$T))</f>
        <v/>
      </c>
      <c r="W101" s="7">
        <f>IF(OR($C101="",U101=""),"",U101-AVERAGEIF($C:$C,$C101,$U:$U))</f>
        <v/>
      </c>
      <c r="X101" s="5" t="n"/>
      <c r="Y101" s="5" t="n"/>
      <c r="Z101" s="6" t="n"/>
      <c r="AA101" s="5" t="n"/>
      <c r="AB101" s="5" t="n"/>
      <c r="AC101" s="5" t="n"/>
      <c r="AD101" s="5" t="n"/>
      <c r="AE101" s="5" t="n"/>
      <c r="AF101" s="6" t="n"/>
      <c r="AG101" s="6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7">
        <f>IF(AQ101="","",AQ101)</f>
        <v/>
      </c>
      <c r="AT101" s="7">
        <f>IF(OR(AQ101="",AI101=""),"",AQ101-AI101)</f>
        <v/>
      </c>
      <c r="AU101" s="8">
        <f>IF(OR(AT101="",AQ101=""),"",AT101/AQ101)</f>
        <v/>
      </c>
      <c r="AV101" s="5" t="n"/>
      <c r="AW101" s="5" t="n"/>
      <c r="AX101" s="5" t="n"/>
      <c r="AY101" s="5" t="n"/>
      <c r="AZ101" s="5" t="n"/>
      <c r="BA101" s="6" t="n"/>
      <c r="BB101" s="5" t="n"/>
      <c r="BC101" s="6" t="n"/>
      <c r="BD101" s="6" t="n"/>
    </row>
    <row r="102">
      <c r="A102" s="5" t="n"/>
      <c r="B102" s="5" t="n"/>
      <c r="C102" s="5" t="n"/>
      <c r="D102" s="5" t="n"/>
      <c r="E102" s="5" t="n"/>
      <c r="F102" s="5" t="n"/>
      <c r="G102" s="6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7">
        <f>IF(OR($C102="",T102=""),"",T102-AVERAGEIF($C:$C,$C102,$T:$T))</f>
        <v/>
      </c>
      <c r="W102" s="7">
        <f>IF(OR($C102="",U102=""),"",U102-AVERAGEIF($C:$C,$C102,$U:$U))</f>
        <v/>
      </c>
      <c r="X102" s="5" t="n"/>
      <c r="Y102" s="5" t="n"/>
      <c r="Z102" s="6" t="n"/>
      <c r="AA102" s="5" t="n"/>
      <c r="AB102" s="5" t="n"/>
      <c r="AC102" s="5" t="n"/>
      <c r="AD102" s="5" t="n"/>
      <c r="AE102" s="5" t="n"/>
      <c r="AF102" s="6" t="n"/>
      <c r="AG102" s="6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7">
        <f>IF(AQ102="","",AQ102)</f>
        <v/>
      </c>
      <c r="AT102" s="7">
        <f>IF(OR(AQ102="",AI102=""),"",AQ102-AI102)</f>
        <v/>
      </c>
      <c r="AU102" s="8">
        <f>IF(OR(AT102="",AQ102=""),"",AT102/AQ102)</f>
        <v/>
      </c>
      <c r="AV102" s="5" t="n"/>
      <c r="AW102" s="5" t="n"/>
      <c r="AX102" s="5" t="n"/>
      <c r="AY102" s="5" t="n"/>
      <c r="AZ102" s="5" t="n"/>
      <c r="BA102" s="6" t="n"/>
      <c r="BB102" s="5" t="n"/>
      <c r="BC102" s="6" t="n"/>
      <c r="BD102" s="6" t="n"/>
    </row>
    <row r="103">
      <c r="A103" s="5" t="n"/>
      <c r="B103" s="5" t="n"/>
      <c r="C103" s="5" t="n"/>
      <c r="D103" s="5" t="n"/>
      <c r="E103" s="5" t="n"/>
      <c r="F103" s="5" t="n"/>
      <c r="G103" s="6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7">
        <f>IF(OR($C103="",T103=""),"",T103-AVERAGEIF($C:$C,$C103,$T:$T))</f>
        <v/>
      </c>
      <c r="W103" s="7">
        <f>IF(OR($C103="",U103=""),"",U103-AVERAGEIF($C:$C,$C103,$U:$U))</f>
        <v/>
      </c>
      <c r="X103" s="5" t="n"/>
      <c r="Y103" s="5" t="n"/>
      <c r="Z103" s="6" t="n"/>
      <c r="AA103" s="5" t="n"/>
      <c r="AB103" s="5" t="n"/>
      <c r="AC103" s="5" t="n"/>
      <c r="AD103" s="5" t="n"/>
      <c r="AE103" s="5" t="n"/>
      <c r="AF103" s="6" t="n"/>
      <c r="AG103" s="6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7">
        <f>IF(AQ103="","",AQ103)</f>
        <v/>
      </c>
      <c r="AT103" s="7">
        <f>IF(OR(AQ103="",AI103=""),"",AQ103-AI103)</f>
        <v/>
      </c>
      <c r="AU103" s="8">
        <f>IF(OR(AT103="",AQ103=""),"",AT103/AQ103)</f>
        <v/>
      </c>
      <c r="AV103" s="5" t="n"/>
      <c r="AW103" s="5" t="n"/>
      <c r="AX103" s="5" t="n"/>
      <c r="AY103" s="5" t="n"/>
      <c r="AZ103" s="5" t="n"/>
      <c r="BA103" s="6" t="n"/>
      <c r="BB103" s="5" t="n"/>
      <c r="BC103" s="6" t="n"/>
      <c r="BD103" s="6" t="n"/>
    </row>
    <row r="104">
      <c r="A104" s="5" t="n"/>
      <c r="B104" s="5" t="n"/>
      <c r="C104" s="5" t="n"/>
      <c r="D104" s="5" t="n"/>
      <c r="E104" s="5" t="n"/>
      <c r="F104" s="5" t="n"/>
      <c r="G104" s="6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7">
        <f>IF(OR($C104="",T104=""),"",T104-AVERAGEIF($C:$C,$C104,$T:$T))</f>
        <v/>
      </c>
      <c r="W104" s="7">
        <f>IF(OR($C104="",U104=""),"",U104-AVERAGEIF($C:$C,$C104,$U:$U))</f>
        <v/>
      </c>
      <c r="X104" s="5" t="n"/>
      <c r="Y104" s="5" t="n"/>
      <c r="Z104" s="6" t="n"/>
      <c r="AA104" s="5" t="n"/>
      <c r="AB104" s="5" t="n"/>
      <c r="AC104" s="5" t="n"/>
      <c r="AD104" s="5" t="n"/>
      <c r="AE104" s="5" t="n"/>
      <c r="AF104" s="6" t="n"/>
      <c r="AG104" s="6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7">
        <f>IF(AQ104="","",AQ104)</f>
        <v/>
      </c>
      <c r="AT104" s="7">
        <f>IF(OR(AQ104="",AI104=""),"",AQ104-AI104)</f>
        <v/>
      </c>
      <c r="AU104" s="8">
        <f>IF(OR(AT104="",AQ104=""),"",AT104/AQ104)</f>
        <v/>
      </c>
      <c r="AV104" s="5" t="n"/>
      <c r="AW104" s="5" t="n"/>
      <c r="AX104" s="5" t="n"/>
      <c r="AY104" s="5" t="n"/>
      <c r="AZ104" s="5" t="n"/>
      <c r="BA104" s="6" t="n"/>
      <c r="BB104" s="5" t="n"/>
      <c r="BC104" s="6" t="n"/>
      <c r="BD104" s="6" t="n"/>
    </row>
    <row r="105">
      <c r="A105" s="5" t="n"/>
      <c r="B105" s="5" t="n"/>
      <c r="C105" s="5" t="n"/>
      <c r="D105" s="5" t="n"/>
      <c r="E105" s="5" t="n"/>
      <c r="F105" s="5" t="n"/>
      <c r="G105" s="6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7">
        <f>IF(OR($C105="",T105=""),"",T105-AVERAGEIF($C:$C,$C105,$T:$T))</f>
        <v/>
      </c>
      <c r="W105" s="7">
        <f>IF(OR($C105="",U105=""),"",U105-AVERAGEIF($C:$C,$C105,$U:$U))</f>
        <v/>
      </c>
      <c r="X105" s="5" t="n"/>
      <c r="Y105" s="5" t="n"/>
      <c r="Z105" s="6" t="n"/>
      <c r="AA105" s="5" t="n"/>
      <c r="AB105" s="5" t="n"/>
      <c r="AC105" s="5" t="n"/>
      <c r="AD105" s="5" t="n"/>
      <c r="AE105" s="5" t="n"/>
      <c r="AF105" s="6" t="n"/>
      <c r="AG105" s="6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7">
        <f>IF(AQ105="","",AQ105)</f>
        <v/>
      </c>
      <c r="AT105" s="7">
        <f>IF(OR(AQ105="",AI105=""),"",AQ105-AI105)</f>
        <v/>
      </c>
      <c r="AU105" s="8">
        <f>IF(OR(AT105="",AQ105=""),"",AT105/AQ105)</f>
        <v/>
      </c>
      <c r="AV105" s="5" t="n"/>
      <c r="AW105" s="5" t="n"/>
      <c r="AX105" s="5" t="n"/>
      <c r="AY105" s="5" t="n"/>
      <c r="AZ105" s="5" t="n"/>
      <c r="BA105" s="6" t="n"/>
      <c r="BB105" s="5" t="n"/>
      <c r="BC105" s="6" t="n"/>
      <c r="BD105" s="6" t="n"/>
    </row>
    <row r="106">
      <c r="A106" s="5" t="n"/>
      <c r="B106" s="5" t="n"/>
      <c r="C106" s="5" t="n"/>
      <c r="D106" s="5" t="n"/>
      <c r="E106" s="5" t="n"/>
      <c r="F106" s="5" t="n"/>
      <c r="G106" s="6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7">
        <f>IF(OR($C106="",T106=""),"",T106-AVERAGEIF($C:$C,$C106,$T:$T))</f>
        <v/>
      </c>
      <c r="W106" s="7">
        <f>IF(OR($C106="",U106=""),"",U106-AVERAGEIF($C:$C,$C106,$U:$U))</f>
        <v/>
      </c>
      <c r="X106" s="5" t="n"/>
      <c r="Y106" s="5" t="n"/>
      <c r="Z106" s="6" t="n"/>
      <c r="AA106" s="5" t="n"/>
      <c r="AB106" s="5" t="n"/>
      <c r="AC106" s="5" t="n"/>
      <c r="AD106" s="5" t="n"/>
      <c r="AE106" s="5" t="n"/>
      <c r="AF106" s="6" t="n"/>
      <c r="AG106" s="6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7">
        <f>IF(AQ106="","",AQ106)</f>
        <v/>
      </c>
      <c r="AT106" s="7">
        <f>IF(OR(AQ106="",AI106=""),"",AQ106-AI106)</f>
        <v/>
      </c>
      <c r="AU106" s="8">
        <f>IF(OR(AT106="",AQ106=""),"",AT106/AQ106)</f>
        <v/>
      </c>
      <c r="AV106" s="5" t="n"/>
      <c r="AW106" s="5" t="n"/>
      <c r="AX106" s="5" t="n"/>
      <c r="AY106" s="5" t="n"/>
      <c r="AZ106" s="5" t="n"/>
      <c r="BA106" s="6" t="n"/>
      <c r="BB106" s="5" t="n"/>
      <c r="BC106" s="6" t="n"/>
      <c r="BD106" s="6" t="n"/>
    </row>
    <row r="107">
      <c r="A107" s="5" t="n"/>
      <c r="B107" s="5" t="n"/>
      <c r="C107" s="5" t="n"/>
      <c r="D107" s="5" t="n"/>
      <c r="E107" s="5" t="n"/>
      <c r="F107" s="5" t="n"/>
      <c r="G107" s="6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7">
        <f>IF(OR($C107="",T107=""),"",T107-AVERAGEIF($C:$C,$C107,$T:$T))</f>
        <v/>
      </c>
      <c r="W107" s="7">
        <f>IF(OR($C107="",U107=""),"",U107-AVERAGEIF($C:$C,$C107,$U:$U))</f>
        <v/>
      </c>
      <c r="X107" s="5" t="n"/>
      <c r="Y107" s="5" t="n"/>
      <c r="Z107" s="6" t="n"/>
      <c r="AA107" s="5" t="n"/>
      <c r="AB107" s="5" t="n"/>
      <c r="AC107" s="5" t="n"/>
      <c r="AD107" s="5" t="n"/>
      <c r="AE107" s="5" t="n"/>
      <c r="AF107" s="6" t="n"/>
      <c r="AG107" s="6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7">
        <f>IF(AQ107="","",AQ107)</f>
        <v/>
      </c>
      <c r="AT107" s="7">
        <f>IF(OR(AQ107="",AI107=""),"",AQ107-AI107)</f>
        <v/>
      </c>
      <c r="AU107" s="8">
        <f>IF(OR(AT107="",AQ107=""),"",AT107/AQ107)</f>
        <v/>
      </c>
      <c r="AV107" s="5" t="n"/>
      <c r="AW107" s="5" t="n"/>
      <c r="AX107" s="5" t="n"/>
      <c r="AY107" s="5" t="n"/>
      <c r="AZ107" s="5" t="n"/>
      <c r="BA107" s="6" t="n"/>
      <c r="BB107" s="5" t="n"/>
      <c r="BC107" s="6" t="n"/>
      <c r="BD107" s="6" t="n"/>
    </row>
    <row r="108">
      <c r="A108" s="5" t="n"/>
      <c r="B108" s="5" t="n"/>
      <c r="C108" s="5" t="n"/>
      <c r="D108" s="5" t="n"/>
      <c r="E108" s="5" t="n"/>
      <c r="F108" s="5" t="n"/>
      <c r="G108" s="6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7">
        <f>IF(OR($C108="",T108=""),"",T108-AVERAGEIF($C:$C,$C108,$T:$T))</f>
        <v/>
      </c>
      <c r="W108" s="7">
        <f>IF(OR($C108="",U108=""),"",U108-AVERAGEIF($C:$C,$C108,$U:$U))</f>
        <v/>
      </c>
      <c r="X108" s="5" t="n"/>
      <c r="Y108" s="5" t="n"/>
      <c r="Z108" s="6" t="n"/>
      <c r="AA108" s="5" t="n"/>
      <c r="AB108" s="5" t="n"/>
      <c r="AC108" s="5" t="n"/>
      <c r="AD108" s="5" t="n"/>
      <c r="AE108" s="5" t="n"/>
      <c r="AF108" s="6" t="n"/>
      <c r="AG108" s="6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7">
        <f>IF(AQ108="","",AQ108)</f>
        <v/>
      </c>
      <c r="AT108" s="7">
        <f>IF(OR(AQ108="",AI108=""),"",AQ108-AI108)</f>
        <v/>
      </c>
      <c r="AU108" s="8">
        <f>IF(OR(AT108="",AQ108=""),"",AT108/AQ108)</f>
        <v/>
      </c>
      <c r="AV108" s="5" t="n"/>
      <c r="AW108" s="5" t="n"/>
      <c r="AX108" s="5" t="n"/>
      <c r="AY108" s="5" t="n"/>
      <c r="AZ108" s="5" t="n"/>
      <c r="BA108" s="6" t="n"/>
      <c r="BB108" s="5" t="n"/>
      <c r="BC108" s="6" t="n"/>
      <c r="BD108" s="6" t="n"/>
    </row>
    <row r="109">
      <c r="A109" s="5" t="n"/>
      <c r="B109" s="5" t="n"/>
      <c r="C109" s="5" t="n"/>
      <c r="D109" s="5" t="n"/>
      <c r="E109" s="5" t="n"/>
      <c r="F109" s="5" t="n"/>
      <c r="G109" s="6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7">
        <f>IF(OR($C109="",T109=""),"",T109-AVERAGEIF($C:$C,$C109,$T:$T))</f>
        <v/>
      </c>
      <c r="W109" s="7">
        <f>IF(OR($C109="",U109=""),"",U109-AVERAGEIF($C:$C,$C109,$U:$U))</f>
        <v/>
      </c>
      <c r="X109" s="5" t="n"/>
      <c r="Y109" s="5" t="n"/>
      <c r="Z109" s="6" t="n"/>
      <c r="AA109" s="5" t="n"/>
      <c r="AB109" s="5" t="n"/>
      <c r="AC109" s="5" t="n"/>
      <c r="AD109" s="5" t="n"/>
      <c r="AE109" s="5" t="n"/>
      <c r="AF109" s="6" t="n"/>
      <c r="AG109" s="6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7">
        <f>IF(AQ109="","",AQ109)</f>
        <v/>
      </c>
      <c r="AT109" s="7">
        <f>IF(OR(AQ109="",AI109=""),"",AQ109-AI109)</f>
        <v/>
      </c>
      <c r="AU109" s="8">
        <f>IF(OR(AT109="",AQ109=""),"",AT109/AQ109)</f>
        <v/>
      </c>
      <c r="AV109" s="5" t="n"/>
      <c r="AW109" s="5" t="n"/>
      <c r="AX109" s="5" t="n"/>
      <c r="AY109" s="5" t="n"/>
      <c r="AZ109" s="5" t="n"/>
      <c r="BA109" s="6" t="n"/>
      <c r="BB109" s="5" t="n"/>
      <c r="BC109" s="6" t="n"/>
      <c r="BD109" s="6" t="n"/>
    </row>
    <row r="110">
      <c r="A110" s="5" t="n"/>
      <c r="B110" s="5" t="n"/>
      <c r="C110" s="5" t="n"/>
      <c r="D110" s="5" t="n"/>
      <c r="E110" s="5" t="n"/>
      <c r="F110" s="5" t="n"/>
      <c r="G110" s="6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7">
        <f>IF(OR($C110="",T110=""),"",T110-AVERAGEIF($C:$C,$C110,$T:$T))</f>
        <v/>
      </c>
      <c r="W110" s="7">
        <f>IF(OR($C110="",U110=""),"",U110-AVERAGEIF($C:$C,$C110,$U:$U))</f>
        <v/>
      </c>
      <c r="X110" s="5" t="n"/>
      <c r="Y110" s="5" t="n"/>
      <c r="Z110" s="6" t="n"/>
      <c r="AA110" s="5" t="n"/>
      <c r="AB110" s="5" t="n"/>
      <c r="AC110" s="5" t="n"/>
      <c r="AD110" s="5" t="n"/>
      <c r="AE110" s="5" t="n"/>
      <c r="AF110" s="6" t="n"/>
      <c r="AG110" s="6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7">
        <f>IF(AQ110="","",AQ110)</f>
        <v/>
      </c>
      <c r="AT110" s="7">
        <f>IF(OR(AQ110="",AI110=""),"",AQ110-AI110)</f>
        <v/>
      </c>
      <c r="AU110" s="8">
        <f>IF(OR(AT110="",AQ110=""),"",AT110/AQ110)</f>
        <v/>
      </c>
      <c r="AV110" s="5" t="n"/>
      <c r="AW110" s="5" t="n"/>
      <c r="AX110" s="5" t="n"/>
      <c r="AY110" s="5" t="n"/>
      <c r="AZ110" s="5" t="n"/>
      <c r="BA110" s="6" t="n"/>
      <c r="BB110" s="5" t="n"/>
      <c r="BC110" s="6" t="n"/>
      <c r="BD110" s="6" t="n"/>
    </row>
    <row r="111">
      <c r="A111" s="5" t="n"/>
      <c r="B111" s="5" t="n"/>
      <c r="C111" s="5" t="n"/>
      <c r="D111" s="5" t="n"/>
      <c r="E111" s="5" t="n"/>
      <c r="F111" s="5" t="n"/>
      <c r="G111" s="6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7">
        <f>IF(OR($C111="",T111=""),"",T111-AVERAGEIF($C:$C,$C111,$T:$T))</f>
        <v/>
      </c>
      <c r="W111" s="7">
        <f>IF(OR($C111="",U111=""),"",U111-AVERAGEIF($C:$C,$C111,$U:$U))</f>
        <v/>
      </c>
      <c r="X111" s="5" t="n"/>
      <c r="Y111" s="5" t="n"/>
      <c r="Z111" s="6" t="n"/>
      <c r="AA111" s="5" t="n"/>
      <c r="AB111" s="5" t="n"/>
      <c r="AC111" s="5" t="n"/>
      <c r="AD111" s="5" t="n"/>
      <c r="AE111" s="5" t="n"/>
      <c r="AF111" s="6" t="n"/>
      <c r="AG111" s="6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7">
        <f>IF(AQ111="","",AQ111)</f>
        <v/>
      </c>
      <c r="AT111" s="7">
        <f>IF(OR(AQ111="",AI111=""),"",AQ111-AI111)</f>
        <v/>
      </c>
      <c r="AU111" s="8">
        <f>IF(OR(AT111="",AQ111=""),"",AT111/AQ111)</f>
        <v/>
      </c>
      <c r="AV111" s="5" t="n"/>
      <c r="AW111" s="5" t="n"/>
      <c r="AX111" s="5" t="n"/>
      <c r="AY111" s="5" t="n"/>
      <c r="AZ111" s="5" t="n"/>
      <c r="BA111" s="6" t="n"/>
      <c r="BB111" s="5" t="n"/>
      <c r="BC111" s="6" t="n"/>
      <c r="BD111" s="6" t="n"/>
    </row>
    <row r="112">
      <c r="A112" s="5" t="n"/>
      <c r="B112" s="5" t="n"/>
      <c r="C112" s="5" t="n"/>
      <c r="D112" s="5" t="n"/>
      <c r="E112" s="5" t="n"/>
      <c r="F112" s="5" t="n"/>
      <c r="G112" s="6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7">
        <f>IF(OR($C112="",T112=""),"",T112-AVERAGEIF($C:$C,$C112,$T:$T))</f>
        <v/>
      </c>
      <c r="W112" s="7">
        <f>IF(OR($C112="",U112=""),"",U112-AVERAGEIF($C:$C,$C112,$U:$U))</f>
        <v/>
      </c>
      <c r="X112" s="5" t="n"/>
      <c r="Y112" s="5" t="n"/>
      <c r="Z112" s="6" t="n"/>
      <c r="AA112" s="5" t="n"/>
      <c r="AB112" s="5" t="n"/>
      <c r="AC112" s="5" t="n"/>
      <c r="AD112" s="5" t="n"/>
      <c r="AE112" s="5" t="n"/>
      <c r="AF112" s="6" t="n"/>
      <c r="AG112" s="6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7">
        <f>IF(AQ112="","",AQ112)</f>
        <v/>
      </c>
      <c r="AT112" s="7">
        <f>IF(OR(AQ112="",AI112=""),"",AQ112-AI112)</f>
        <v/>
      </c>
      <c r="AU112" s="8">
        <f>IF(OR(AT112="",AQ112=""),"",AT112/AQ112)</f>
        <v/>
      </c>
      <c r="AV112" s="5" t="n"/>
      <c r="AW112" s="5" t="n"/>
      <c r="AX112" s="5" t="n"/>
      <c r="AY112" s="5" t="n"/>
      <c r="AZ112" s="5" t="n"/>
      <c r="BA112" s="6" t="n"/>
      <c r="BB112" s="5" t="n"/>
      <c r="BC112" s="6" t="n"/>
      <c r="BD112" s="6" t="n"/>
    </row>
    <row r="113">
      <c r="A113" s="5" t="n"/>
      <c r="B113" s="5" t="n"/>
      <c r="C113" s="5" t="n"/>
      <c r="D113" s="5" t="n"/>
      <c r="E113" s="5" t="n"/>
      <c r="F113" s="5" t="n"/>
      <c r="G113" s="6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7">
        <f>IF(OR($C113="",T113=""),"",T113-AVERAGEIF($C:$C,$C113,$T:$T))</f>
        <v/>
      </c>
      <c r="W113" s="7">
        <f>IF(OR($C113="",U113=""),"",U113-AVERAGEIF($C:$C,$C113,$U:$U))</f>
        <v/>
      </c>
      <c r="X113" s="5" t="n"/>
      <c r="Y113" s="5" t="n"/>
      <c r="Z113" s="6" t="n"/>
      <c r="AA113" s="5" t="n"/>
      <c r="AB113" s="5" t="n"/>
      <c r="AC113" s="5" t="n"/>
      <c r="AD113" s="5" t="n"/>
      <c r="AE113" s="5" t="n"/>
      <c r="AF113" s="6" t="n"/>
      <c r="AG113" s="6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7">
        <f>IF(AQ113="","",AQ113)</f>
        <v/>
      </c>
      <c r="AT113" s="7">
        <f>IF(OR(AQ113="",AI113=""),"",AQ113-AI113)</f>
        <v/>
      </c>
      <c r="AU113" s="8">
        <f>IF(OR(AT113="",AQ113=""),"",AT113/AQ113)</f>
        <v/>
      </c>
      <c r="AV113" s="5" t="n"/>
      <c r="AW113" s="5" t="n"/>
      <c r="AX113" s="5" t="n"/>
      <c r="AY113" s="5" t="n"/>
      <c r="AZ113" s="5" t="n"/>
      <c r="BA113" s="6" t="n"/>
      <c r="BB113" s="5" t="n"/>
      <c r="BC113" s="6" t="n"/>
      <c r="BD113" s="6" t="n"/>
    </row>
    <row r="114">
      <c r="A114" s="5" t="n"/>
      <c r="B114" s="5" t="n"/>
      <c r="C114" s="5" t="n"/>
      <c r="D114" s="5" t="n"/>
      <c r="E114" s="5" t="n"/>
      <c r="F114" s="5" t="n"/>
      <c r="G114" s="6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7">
        <f>IF(OR($C114="",T114=""),"",T114-AVERAGEIF($C:$C,$C114,$T:$T))</f>
        <v/>
      </c>
      <c r="W114" s="7">
        <f>IF(OR($C114="",U114=""),"",U114-AVERAGEIF($C:$C,$C114,$U:$U))</f>
        <v/>
      </c>
      <c r="X114" s="5" t="n"/>
      <c r="Y114" s="5" t="n"/>
      <c r="Z114" s="6" t="n"/>
      <c r="AA114" s="5" t="n"/>
      <c r="AB114" s="5" t="n"/>
      <c r="AC114" s="5" t="n"/>
      <c r="AD114" s="5" t="n"/>
      <c r="AE114" s="5" t="n"/>
      <c r="AF114" s="6" t="n"/>
      <c r="AG114" s="6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7">
        <f>IF(AQ114="","",AQ114)</f>
        <v/>
      </c>
      <c r="AT114" s="7">
        <f>IF(OR(AQ114="",AI114=""),"",AQ114-AI114)</f>
        <v/>
      </c>
      <c r="AU114" s="8">
        <f>IF(OR(AT114="",AQ114=""),"",AT114/AQ114)</f>
        <v/>
      </c>
      <c r="AV114" s="5" t="n"/>
      <c r="AW114" s="5" t="n"/>
      <c r="AX114" s="5" t="n"/>
      <c r="AY114" s="5" t="n"/>
      <c r="AZ114" s="5" t="n"/>
      <c r="BA114" s="6" t="n"/>
      <c r="BB114" s="5" t="n"/>
      <c r="BC114" s="6" t="n"/>
      <c r="BD114" s="6" t="n"/>
    </row>
    <row r="115">
      <c r="A115" s="5" t="n"/>
      <c r="B115" s="5" t="n"/>
      <c r="C115" s="5" t="n"/>
      <c r="D115" s="5" t="n"/>
      <c r="E115" s="5" t="n"/>
      <c r="F115" s="5" t="n"/>
      <c r="G115" s="6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7">
        <f>IF(OR($C115="",T115=""),"",T115-AVERAGEIF($C:$C,$C115,$T:$T))</f>
        <v/>
      </c>
      <c r="W115" s="7">
        <f>IF(OR($C115="",U115=""),"",U115-AVERAGEIF($C:$C,$C115,$U:$U))</f>
        <v/>
      </c>
      <c r="X115" s="5" t="n"/>
      <c r="Y115" s="5" t="n"/>
      <c r="Z115" s="6" t="n"/>
      <c r="AA115" s="5" t="n"/>
      <c r="AB115" s="5" t="n"/>
      <c r="AC115" s="5" t="n"/>
      <c r="AD115" s="5" t="n"/>
      <c r="AE115" s="5" t="n"/>
      <c r="AF115" s="6" t="n"/>
      <c r="AG115" s="6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7">
        <f>IF(AQ115="","",AQ115)</f>
        <v/>
      </c>
      <c r="AT115" s="7">
        <f>IF(OR(AQ115="",AI115=""),"",AQ115-AI115)</f>
        <v/>
      </c>
      <c r="AU115" s="8">
        <f>IF(OR(AT115="",AQ115=""),"",AT115/AQ115)</f>
        <v/>
      </c>
      <c r="AV115" s="5" t="n"/>
      <c r="AW115" s="5" t="n"/>
      <c r="AX115" s="5" t="n"/>
      <c r="AY115" s="5" t="n"/>
      <c r="AZ115" s="5" t="n"/>
      <c r="BA115" s="6" t="n"/>
      <c r="BB115" s="5" t="n"/>
      <c r="BC115" s="6" t="n"/>
      <c r="BD115" s="6" t="n"/>
    </row>
    <row r="116">
      <c r="A116" s="5" t="n"/>
      <c r="B116" s="5" t="n"/>
      <c r="C116" s="5" t="n"/>
      <c r="D116" s="5" t="n"/>
      <c r="E116" s="5" t="n"/>
      <c r="F116" s="5" t="n"/>
      <c r="G116" s="6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7">
        <f>IF(OR($C116="",T116=""),"",T116-AVERAGEIF($C:$C,$C116,$T:$T))</f>
        <v/>
      </c>
      <c r="W116" s="7">
        <f>IF(OR($C116="",U116=""),"",U116-AVERAGEIF($C:$C,$C116,$U:$U))</f>
        <v/>
      </c>
      <c r="X116" s="5" t="n"/>
      <c r="Y116" s="5" t="n"/>
      <c r="Z116" s="6" t="n"/>
      <c r="AA116" s="5" t="n"/>
      <c r="AB116" s="5" t="n"/>
      <c r="AC116" s="5" t="n"/>
      <c r="AD116" s="5" t="n"/>
      <c r="AE116" s="5" t="n"/>
      <c r="AF116" s="6" t="n"/>
      <c r="AG116" s="6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7">
        <f>IF(AQ116="","",AQ116)</f>
        <v/>
      </c>
      <c r="AT116" s="7">
        <f>IF(OR(AQ116="",AI116=""),"",AQ116-AI116)</f>
        <v/>
      </c>
      <c r="AU116" s="8">
        <f>IF(OR(AT116="",AQ116=""),"",AT116/AQ116)</f>
        <v/>
      </c>
      <c r="AV116" s="5" t="n"/>
      <c r="AW116" s="5" t="n"/>
      <c r="AX116" s="5" t="n"/>
      <c r="AY116" s="5" t="n"/>
      <c r="AZ116" s="5" t="n"/>
      <c r="BA116" s="6" t="n"/>
      <c r="BB116" s="5" t="n"/>
      <c r="BC116" s="6" t="n"/>
      <c r="BD116" s="6" t="n"/>
    </row>
    <row r="117">
      <c r="A117" s="5" t="n"/>
      <c r="B117" s="5" t="n"/>
      <c r="C117" s="5" t="n"/>
      <c r="D117" s="5" t="n"/>
      <c r="E117" s="5" t="n"/>
      <c r="F117" s="5" t="n"/>
      <c r="G117" s="6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7">
        <f>IF(OR($C117="",T117=""),"",T117-AVERAGEIF($C:$C,$C117,$T:$T))</f>
        <v/>
      </c>
      <c r="W117" s="7">
        <f>IF(OR($C117="",U117=""),"",U117-AVERAGEIF($C:$C,$C117,$U:$U))</f>
        <v/>
      </c>
      <c r="X117" s="5" t="n"/>
      <c r="Y117" s="5" t="n"/>
      <c r="Z117" s="6" t="n"/>
      <c r="AA117" s="5" t="n"/>
      <c r="AB117" s="5" t="n"/>
      <c r="AC117" s="5" t="n"/>
      <c r="AD117" s="5" t="n"/>
      <c r="AE117" s="5" t="n"/>
      <c r="AF117" s="6" t="n"/>
      <c r="AG117" s="6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7">
        <f>IF(AQ117="","",AQ117)</f>
        <v/>
      </c>
      <c r="AT117" s="7">
        <f>IF(OR(AQ117="",AI117=""),"",AQ117-AI117)</f>
        <v/>
      </c>
      <c r="AU117" s="8">
        <f>IF(OR(AT117="",AQ117=""),"",AT117/AQ117)</f>
        <v/>
      </c>
      <c r="AV117" s="5" t="n"/>
      <c r="AW117" s="5" t="n"/>
      <c r="AX117" s="5" t="n"/>
      <c r="AY117" s="5" t="n"/>
      <c r="AZ117" s="5" t="n"/>
      <c r="BA117" s="6" t="n"/>
      <c r="BB117" s="5" t="n"/>
      <c r="BC117" s="6" t="n"/>
      <c r="BD117" s="6" t="n"/>
    </row>
    <row r="118">
      <c r="A118" s="5" t="n"/>
      <c r="B118" s="5" t="n"/>
      <c r="C118" s="5" t="n"/>
      <c r="D118" s="5" t="n"/>
      <c r="E118" s="5" t="n"/>
      <c r="F118" s="5" t="n"/>
      <c r="G118" s="6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7">
        <f>IF(OR($C118="",T118=""),"",T118-AVERAGEIF($C:$C,$C118,$T:$T))</f>
        <v/>
      </c>
      <c r="W118" s="7">
        <f>IF(OR($C118="",U118=""),"",U118-AVERAGEIF($C:$C,$C118,$U:$U))</f>
        <v/>
      </c>
      <c r="X118" s="5" t="n"/>
      <c r="Y118" s="5" t="n"/>
      <c r="Z118" s="6" t="n"/>
      <c r="AA118" s="5" t="n"/>
      <c r="AB118" s="5" t="n"/>
      <c r="AC118" s="5" t="n"/>
      <c r="AD118" s="5" t="n"/>
      <c r="AE118" s="5" t="n"/>
      <c r="AF118" s="6" t="n"/>
      <c r="AG118" s="6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7">
        <f>IF(AQ118="","",AQ118)</f>
        <v/>
      </c>
      <c r="AT118" s="7">
        <f>IF(OR(AQ118="",AI118=""),"",AQ118-AI118)</f>
        <v/>
      </c>
      <c r="AU118" s="8">
        <f>IF(OR(AT118="",AQ118=""),"",AT118/AQ118)</f>
        <v/>
      </c>
      <c r="AV118" s="5" t="n"/>
      <c r="AW118" s="5" t="n"/>
      <c r="AX118" s="5" t="n"/>
      <c r="AY118" s="5" t="n"/>
      <c r="AZ118" s="5" t="n"/>
      <c r="BA118" s="6" t="n"/>
      <c r="BB118" s="5" t="n"/>
      <c r="BC118" s="6" t="n"/>
      <c r="BD118" s="6" t="n"/>
    </row>
    <row r="119">
      <c r="A119" s="5" t="n"/>
      <c r="B119" s="5" t="n"/>
      <c r="C119" s="5" t="n"/>
      <c r="D119" s="5" t="n"/>
      <c r="E119" s="5" t="n"/>
      <c r="F119" s="5" t="n"/>
      <c r="G119" s="6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7">
        <f>IF(OR($C119="",T119=""),"",T119-AVERAGEIF($C:$C,$C119,$T:$T))</f>
        <v/>
      </c>
      <c r="W119" s="7">
        <f>IF(OR($C119="",U119=""),"",U119-AVERAGEIF($C:$C,$C119,$U:$U))</f>
        <v/>
      </c>
      <c r="X119" s="5" t="n"/>
      <c r="Y119" s="5" t="n"/>
      <c r="Z119" s="6" t="n"/>
      <c r="AA119" s="5" t="n"/>
      <c r="AB119" s="5" t="n"/>
      <c r="AC119" s="5" t="n"/>
      <c r="AD119" s="5" t="n"/>
      <c r="AE119" s="5" t="n"/>
      <c r="AF119" s="6" t="n"/>
      <c r="AG119" s="6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7">
        <f>IF(AQ119="","",AQ119)</f>
        <v/>
      </c>
      <c r="AT119" s="7">
        <f>IF(OR(AQ119="",AI119=""),"",AQ119-AI119)</f>
        <v/>
      </c>
      <c r="AU119" s="8">
        <f>IF(OR(AT119="",AQ119=""),"",AT119/AQ119)</f>
        <v/>
      </c>
      <c r="AV119" s="5" t="n"/>
      <c r="AW119" s="5" t="n"/>
      <c r="AX119" s="5" t="n"/>
      <c r="AY119" s="5" t="n"/>
      <c r="AZ119" s="5" t="n"/>
      <c r="BA119" s="6" t="n"/>
      <c r="BB119" s="5" t="n"/>
      <c r="BC119" s="6" t="n"/>
      <c r="BD119" s="6" t="n"/>
    </row>
    <row r="120">
      <c r="A120" s="5" t="n"/>
      <c r="B120" s="5" t="n"/>
      <c r="C120" s="5" t="n"/>
      <c r="D120" s="5" t="n"/>
      <c r="E120" s="5" t="n"/>
      <c r="F120" s="5" t="n"/>
      <c r="G120" s="6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7">
        <f>IF(OR($C120="",T120=""),"",T120-AVERAGEIF($C:$C,$C120,$T:$T))</f>
        <v/>
      </c>
      <c r="W120" s="7">
        <f>IF(OR($C120="",U120=""),"",U120-AVERAGEIF($C:$C,$C120,$U:$U))</f>
        <v/>
      </c>
      <c r="X120" s="5" t="n"/>
      <c r="Y120" s="5" t="n"/>
      <c r="Z120" s="6" t="n"/>
      <c r="AA120" s="5" t="n"/>
      <c r="AB120" s="5" t="n"/>
      <c r="AC120" s="5" t="n"/>
      <c r="AD120" s="5" t="n"/>
      <c r="AE120" s="5" t="n"/>
      <c r="AF120" s="6" t="n"/>
      <c r="AG120" s="6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7">
        <f>IF(AQ120="","",AQ120)</f>
        <v/>
      </c>
      <c r="AT120" s="7">
        <f>IF(OR(AQ120="",AI120=""),"",AQ120-AI120)</f>
        <v/>
      </c>
      <c r="AU120" s="8">
        <f>IF(OR(AT120="",AQ120=""),"",AT120/AQ120)</f>
        <v/>
      </c>
      <c r="AV120" s="5" t="n"/>
      <c r="AW120" s="5" t="n"/>
      <c r="AX120" s="5" t="n"/>
      <c r="AY120" s="5" t="n"/>
      <c r="AZ120" s="5" t="n"/>
      <c r="BA120" s="6" t="n"/>
      <c r="BB120" s="5" t="n"/>
      <c r="BC120" s="6" t="n"/>
      <c r="BD120" s="6" t="n"/>
    </row>
    <row r="121">
      <c r="A121" s="5" t="n"/>
      <c r="B121" s="5" t="n"/>
      <c r="C121" s="5" t="n"/>
      <c r="D121" s="5" t="n"/>
      <c r="E121" s="5" t="n"/>
      <c r="F121" s="5" t="n"/>
      <c r="G121" s="6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7">
        <f>IF(OR($C121="",T121=""),"",T121-AVERAGEIF($C:$C,$C121,$T:$T))</f>
        <v/>
      </c>
      <c r="W121" s="7">
        <f>IF(OR($C121="",U121=""),"",U121-AVERAGEIF($C:$C,$C121,$U:$U))</f>
        <v/>
      </c>
      <c r="X121" s="5" t="n"/>
      <c r="Y121" s="5" t="n"/>
      <c r="Z121" s="6" t="n"/>
      <c r="AA121" s="5" t="n"/>
      <c r="AB121" s="5" t="n"/>
      <c r="AC121" s="5" t="n"/>
      <c r="AD121" s="5" t="n"/>
      <c r="AE121" s="5" t="n"/>
      <c r="AF121" s="6" t="n"/>
      <c r="AG121" s="6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7">
        <f>IF(AQ121="","",AQ121)</f>
        <v/>
      </c>
      <c r="AT121" s="7">
        <f>IF(OR(AQ121="",AI121=""),"",AQ121-AI121)</f>
        <v/>
      </c>
      <c r="AU121" s="8">
        <f>IF(OR(AT121="",AQ121=""),"",AT121/AQ121)</f>
        <v/>
      </c>
      <c r="AV121" s="5" t="n"/>
      <c r="AW121" s="5" t="n"/>
      <c r="AX121" s="5" t="n"/>
      <c r="AY121" s="5" t="n"/>
      <c r="AZ121" s="5" t="n"/>
      <c r="BA121" s="6" t="n"/>
      <c r="BB121" s="5" t="n"/>
      <c r="BC121" s="6" t="n"/>
      <c r="BD121" s="6" t="n"/>
    </row>
    <row r="122">
      <c r="A122" s="5" t="n"/>
      <c r="B122" s="5" t="n"/>
      <c r="C122" s="5" t="n"/>
      <c r="D122" s="5" t="n"/>
      <c r="E122" s="5" t="n"/>
      <c r="F122" s="5" t="n"/>
      <c r="G122" s="6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7">
        <f>IF(OR($C122="",T122=""),"",T122-AVERAGEIF($C:$C,$C122,$T:$T))</f>
        <v/>
      </c>
      <c r="W122" s="7">
        <f>IF(OR($C122="",U122=""),"",U122-AVERAGEIF($C:$C,$C122,$U:$U))</f>
        <v/>
      </c>
      <c r="X122" s="5" t="n"/>
      <c r="Y122" s="5" t="n"/>
      <c r="Z122" s="6" t="n"/>
      <c r="AA122" s="5" t="n"/>
      <c r="AB122" s="5" t="n"/>
      <c r="AC122" s="5" t="n"/>
      <c r="AD122" s="5" t="n"/>
      <c r="AE122" s="5" t="n"/>
      <c r="AF122" s="6" t="n"/>
      <c r="AG122" s="6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7">
        <f>IF(AQ122="","",AQ122)</f>
        <v/>
      </c>
      <c r="AT122" s="7">
        <f>IF(OR(AQ122="",AI122=""),"",AQ122-AI122)</f>
        <v/>
      </c>
      <c r="AU122" s="8">
        <f>IF(OR(AT122="",AQ122=""),"",AT122/AQ122)</f>
        <v/>
      </c>
      <c r="AV122" s="5" t="n"/>
      <c r="AW122" s="5" t="n"/>
      <c r="AX122" s="5" t="n"/>
      <c r="AY122" s="5" t="n"/>
      <c r="AZ122" s="5" t="n"/>
      <c r="BA122" s="6" t="n"/>
      <c r="BB122" s="5" t="n"/>
      <c r="BC122" s="6" t="n"/>
      <c r="BD122" s="6" t="n"/>
    </row>
    <row r="123">
      <c r="A123" s="5" t="n"/>
      <c r="B123" s="5" t="n"/>
      <c r="C123" s="5" t="n"/>
      <c r="D123" s="5" t="n"/>
      <c r="E123" s="5" t="n"/>
      <c r="F123" s="5" t="n"/>
      <c r="G123" s="6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7">
        <f>IF(OR($C123="",T123=""),"",T123-AVERAGEIF($C:$C,$C123,$T:$T))</f>
        <v/>
      </c>
      <c r="W123" s="7">
        <f>IF(OR($C123="",U123=""),"",U123-AVERAGEIF($C:$C,$C123,$U:$U))</f>
        <v/>
      </c>
      <c r="X123" s="5" t="n"/>
      <c r="Y123" s="5" t="n"/>
      <c r="Z123" s="6" t="n"/>
      <c r="AA123" s="5" t="n"/>
      <c r="AB123" s="5" t="n"/>
      <c r="AC123" s="5" t="n"/>
      <c r="AD123" s="5" t="n"/>
      <c r="AE123" s="5" t="n"/>
      <c r="AF123" s="6" t="n"/>
      <c r="AG123" s="6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7">
        <f>IF(AQ123="","",AQ123)</f>
        <v/>
      </c>
      <c r="AT123" s="7">
        <f>IF(OR(AQ123="",AI123=""),"",AQ123-AI123)</f>
        <v/>
      </c>
      <c r="AU123" s="8">
        <f>IF(OR(AT123="",AQ123=""),"",AT123/AQ123)</f>
        <v/>
      </c>
      <c r="AV123" s="5" t="n"/>
      <c r="AW123" s="5" t="n"/>
      <c r="AX123" s="5" t="n"/>
      <c r="AY123" s="5" t="n"/>
      <c r="AZ123" s="5" t="n"/>
      <c r="BA123" s="6" t="n"/>
      <c r="BB123" s="5" t="n"/>
      <c r="BC123" s="6" t="n"/>
      <c r="BD123" s="6" t="n"/>
    </row>
    <row r="124">
      <c r="A124" s="5" t="n"/>
      <c r="B124" s="5" t="n"/>
      <c r="C124" s="5" t="n"/>
      <c r="D124" s="5" t="n"/>
      <c r="E124" s="5" t="n"/>
      <c r="F124" s="5" t="n"/>
      <c r="G124" s="6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7">
        <f>IF(OR($C124="",T124=""),"",T124-AVERAGEIF($C:$C,$C124,$T:$T))</f>
        <v/>
      </c>
      <c r="W124" s="7">
        <f>IF(OR($C124="",U124=""),"",U124-AVERAGEIF($C:$C,$C124,$U:$U))</f>
        <v/>
      </c>
      <c r="X124" s="5" t="n"/>
      <c r="Y124" s="5" t="n"/>
      <c r="Z124" s="6" t="n"/>
      <c r="AA124" s="5" t="n"/>
      <c r="AB124" s="5" t="n"/>
      <c r="AC124" s="5" t="n"/>
      <c r="AD124" s="5" t="n"/>
      <c r="AE124" s="5" t="n"/>
      <c r="AF124" s="6" t="n"/>
      <c r="AG124" s="6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7">
        <f>IF(AQ124="","",AQ124)</f>
        <v/>
      </c>
      <c r="AT124" s="7">
        <f>IF(OR(AQ124="",AI124=""),"",AQ124-AI124)</f>
        <v/>
      </c>
      <c r="AU124" s="8">
        <f>IF(OR(AT124="",AQ124=""),"",AT124/AQ124)</f>
        <v/>
      </c>
      <c r="AV124" s="5" t="n"/>
      <c r="AW124" s="5" t="n"/>
      <c r="AX124" s="5" t="n"/>
      <c r="AY124" s="5" t="n"/>
      <c r="AZ124" s="5" t="n"/>
      <c r="BA124" s="6" t="n"/>
      <c r="BB124" s="5" t="n"/>
      <c r="BC124" s="6" t="n"/>
      <c r="BD124" s="6" t="n"/>
    </row>
    <row r="125">
      <c r="A125" s="5" t="n"/>
      <c r="B125" s="5" t="n"/>
      <c r="C125" s="5" t="n"/>
      <c r="D125" s="5" t="n"/>
      <c r="E125" s="5" t="n"/>
      <c r="F125" s="5" t="n"/>
      <c r="G125" s="6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7">
        <f>IF(OR($C125="",T125=""),"",T125-AVERAGEIF($C:$C,$C125,$T:$T))</f>
        <v/>
      </c>
      <c r="W125" s="7">
        <f>IF(OR($C125="",U125=""),"",U125-AVERAGEIF($C:$C,$C125,$U:$U))</f>
        <v/>
      </c>
      <c r="X125" s="5" t="n"/>
      <c r="Y125" s="5" t="n"/>
      <c r="Z125" s="6" t="n"/>
      <c r="AA125" s="5" t="n"/>
      <c r="AB125" s="5" t="n"/>
      <c r="AC125" s="5" t="n"/>
      <c r="AD125" s="5" t="n"/>
      <c r="AE125" s="5" t="n"/>
      <c r="AF125" s="6" t="n"/>
      <c r="AG125" s="6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7">
        <f>IF(AQ125="","",AQ125)</f>
        <v/>
      </c>
      <c r="AT125" s="7">
        <f>IF(OR(AQ125="",AI125=""),"",AQ125-AI125)</f>
        <v/>
      </c>
      <c r="AU125" s="8">
        <f>IF(OR(AT125="",AQ125=""),"",AT125/AQ125)</f>
        <v/>
      </c>
      <c r="AV125" s="5" t="n"/>
      <c r="AW125" s="5" t="n"/>
      <c r="AX125" s="5" t="n"/>
      <c r="AY125" s="5" t="n"/>
      <c r="AZ125" s="5" t="n"/>
      <c r="BA125" s="6" t="n"/>
      <c r="BB125" s="5" t="n"/>
      <c r="BC125" s="6" t="n"/>
      <c r="BD125" s="6" t="n"/>
    </row>
    <row r="126">
      <c r="A126" s="5" t="n"/>
      <c r="B126" s="5" t="n"/>
      <c r="C126" s="5" t="n"/>
      <c r="D126" s="5" t="n"/>
      <c r="E126" s="5" t="n"/>
      <c r="F126" s="5" t="n"/>
      <c r="G126" s="6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7">
        <f>IF(OR($C126="",T126=""),"",T126-AVERAGEIF($C:$C,$C126,$T:$T))</f>
        <v/>
      </c>
      <c r="W126" s="7">
        <f>IF(OR($C126="",U126=""),"",U126-AVERAGEIF($C:$C,$C126,$U:$U))</f>
        <v/>
      </c>
      <c r="X126" s="5" t="n"/>
      <c r="Y126" s="5" t="n"/>
      <c r="Z126" s="6" t="n"/>
      <c r="AA126" s="5" t="n"/>
      <c r="AB126" s="5" t="n"/>
      <c r="AC126" s="5" t="n"/>
      <c r="AD126" s="5" t="n"/>
      <c r="AE126" s="5" t="n"/>
      <c r="AF126" s="6" t="n"/>
      <c r="AG126" s="6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7">
        <f>IF(AQ126="","",AQ126)</f>
        <v/>
      </c>
      <c r="AT126" s="7">
        <f>IF(OR(AQ126="",AI126=""),"",AQ126-AI126)</f>
        <v/>
      </c>
      <c r="AU126" s="8">
        <f>IF(OR(AT126="",AQ126=""),"",AT126/AQ126)</f>
        <v/>
      </c>
      <c r="AV126" s="5" t="n"/>
      <c r="AW126" s="5" t="n"/>
      <c r="AX126" s="5" t="n"/>
      <c r="AY126" s="5" t="n"/>
      <c r="AZ126" s="5" t="n"/>
      <c r="BA126" s="6" t="n"/>
      <c r="BB126" s="5" t="n"/>
      <c r="BC126" s="6" t="n"/>
      <c r="BD126" s="6" t="n"/>
    </row>
    <row r="127">
      <c r="A127" s="5" t="n"/>
      <c r="B127" s="5" t="n"/>
      <c r="C127" s="5" t="n"/>
      <c r="D127" s="5" t="n"/>
      <c r="E127" s="5" t="n"/>
      <c r="F127" s="5" t="n"/>
      <c r="G127" s="6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7">
        <f>IF(OR($C127="",T127=""),"",T127-AVERAGEIF($C:$C,$C127,$T:$T))</f>
        <v/>
      </c>
      <c r="W127" s="7">
        <f>IF(OR($C127="",U127=""),"",U127-AVERAGEIF($C:$C,$C127,$U:$U))</f>
        <v/>
      </c>
      <c r="X127" s="5" t="n"/>
      <c r="Y127" s="5" t="n"/>
      <c r="Z127" s="6" t="n"/>
      <c r="AA127" s="5" t="n"/>
      <c r="AB127" s="5" t="n"/>
      <c r="AC127" s="5" t="n"/>
      <c r="AD127" s="5" t="n"/>
      <c r="AE127" s="5" t="n"/>
      <c r="AF127" s="6" t="n"/>
      <c r="AG127" s="6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7">
        <f>IF(AQ127="","",AQ127)</f>
        <v/>
      </c>
      <c r="AT127" s="7">
        <f>IF(OR(AQ127="",AI127=""),"",AQ127-AI127)</f>
        <v/>
      </c>
      <c r="AU127" s="8">
        <f>IF(OR(AT127="",AQ127=""),"",AT127/AQ127)</f>
        <v/>
      </c>
      <c r="AV127" s="5" t="n"/>
      <c r="AW127" s="5" t="n"/>
      <c r="AX127" s="5" t="n"/>
      <c r="AY127" s="5" t="n"/>
      <c r="AZ127" s="5" t="n"/>
      <c r="BA127" s="6" t="n"/>
      <c r="BB127" s="5" t="n"/>
      <c r="BC127" s="6" t="n"/>
      <c r="BD127" s="6" t="n"/>
    </row>
    <row r="128">
      <c r="A128" s="5" t="n"/>
      <c r="B128" s="5" t="n"/>
      <c r="C128" s="5" t="n"/>
      <c r="D128" s="5" t="n"/>
      <c r="E128" s="5" t="n"/>
      <c r="F128" s="5" t="n"/>
      <c r="G128" s="6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7">
        <f>IF(OR($C128="",T128=""),"",T128-AVERAGEIF($C:$C,$C128,$T:$T))</f>
        <v/>
      </c>
      <c r="W128" s="7">
        <f>IF(OR($C128="",U128=""),"",U128-AVERAGEIF($C:$C,$C128,$U:$U))</f>
        <v/>
      </c>
      <c r="X128" s="5" t="n"/>
      <c r="Y128" s="5" t="n"/>
      <c r="Z128" s="6" t="n"/>
      <c r="AA128" s="5" t="n"/>
      <c r="AB128" s="5" t="n"/>
      <c r="AC128" s="5" t="n"/>
      <c r="AD128" s="5" t="n"/>
      <c r="AE128" s="5" t="n"/>
      <c r="AF128" s="6" t="n"/>
      <c r="AG128" s="6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7">
        <f>IF(AQ128="","",AQ128)</f>
        <v/>
      </c>
      <c r="AT128" s="7">
        <f>IF(OR(AQ128="",AI128=""),"",AQ128-AI128)</f>
        <v/>
      </c>
      <c r="AU128" s="8">
        <f>IF(OR(AT128="",AQ128=""),"",AT128/AQ128)</f>
        <v/>
      </c>
      <c r="AV128" s="5" t="n"/>
      <c r="AW128" s="5" t="n"/>
      <c r="AX128" s="5" t="n"/>
      <c r="AY128" s="5" t="n"/>
      <c r="AZ128" s="5" t="n"/>
      <c r="BA128" s="6" t="n"/>
      <c r="BB128" s="5" t="n"/>
      <c r="BC128" s="6" t="n"/>
      <c r="BD128" s="6" t="n"/>
    </row>
    <row r="129">
      <c r="A129" s="5" t="n"/>
      <c r="B129" s="5" t="n"/>
      <c r="C129" s="5" t="n"/>
      <c r="D129" s="5" t="n"/>
      <c r="E129" s="5" t="n"/>
      <c r="F129" s="5" t="n"/>
      <c r="G129" s="6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7">
        <f>IF(OR($C129="",T129=""),"",T129-AVERAGEIF($C:$C,$C129,$T:$T))</f>
        <v/>
      </c>
      <c r="W129" s="7">
        <f>IF(OR($C129="",U129=""),"",U129-AVERAGEIF($C:$C,$C129,$U:$U))</f>
        <v/>
      </c>
      <c r="X129" s="5" t="n"/>
      <c r="Y129" s="5" t="n"/>
      <c r="Z129" s="6" t="n"/>
      <c r="AA129" s="5" t="n"/>
      <c r="AB129" s="5" t="n"/>
      <c r="AC129" s="5" t="n"/>
      <c r="AD129" s="5" t="n"/>
      <c r="AE129" s="5" t="n"/>
      <c r="AF129" s="6" t="n"/>
      <c r="AG129" s="6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7">
        <f>IF(AQ129="","",AQ129)</f>
        <v/>
      </c>
      <c r="AT129" s="7">
        <f>IF(OR(AQ129="",AI129=""),"",AQ129-AI129)</f>
        <v/>
      </c>
      <c r="AU129" s="8">
        <f>IF(OR(AT129="",AQ129=""),"",AT129/AQ129)</f>
        <v/>
      </c>
      <c r="AV129" s="5" t="n"/>
      <c r="AW129" s="5" t="n"/>
      <c r="AX129" s="5" t="n"/>
      <c r="AY129" s="5" t="n"/>
      <c r="AZ129" s="5" t="n"/>
      <c r="BA129" s="6" t="n"/>
      <c r="BB129" s="5" t="n"/>
      <c r="BC129" s="6" t="n"/>
      <c r="BD129" s="6" t="n"/>
    </row>
    <row r="130">
      <c r="A130" s="5" t="n"/>
      <c r="B130" s="5" t="n"/>
      <c r="C130" s="5" t="n"/>
      <c r="D130" s="5" t="n"/>
      <c r="E130" s="5" t="n"/>
      <c r="F130" s="5" t="n"/>
      <c r="G130" s="6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7">
        <f>IF(OR($C130="",T130=""),"",T130-AVERAGEIF($C:$C,$C130,$T:$T))</f>
        <v/>
      </c>
      <c r="W130" s="7">
        <f>IF(OR($C130="",U130=""),"",U130-AVERAGEIF($C:$C,$C130,$U:$U))</f>
        <v/>
      </c>
      <c r="X130" s="5" t="n"/>
      <c r="Y130" s="5" t="n"/>
      <c r="Z130" s="6" t="n"/>
      <c r="AA130" s="5" t="n"/>
      <c r="AB130" s="5" t="n"/>
      <c r="AC130" s="5" t="n"/>
      <c r="AD130" s="5" t="n"/>
      <c r="AE130" s="5" t="n"/>
      <c r="AF130" s="6" t="n"/>
      <c r="AG130" s="6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7">
        <f>IF(AQ130="","",AQ130)</f>
        <v/>
      </c>
      <c r="AT130" s="7">
        <f>IF(OR(AQ130="",AI130=""),"",AQ130-AI130)</f>
        <v/>
      </c>
      <c r="AU130" s="8">
        <f>IF(OR(AT130="",AQ130=""),"",AT130/AQ130)</f>
        <v/>
      </c>
      <c r="AV130" s="5" t="n"/>
      <c r="AW130" s="5" t="n"/>
      <c r="AX130" s="5" t="n"/>
      <c r="AY130" s="5" t="n"/>
      <c r="AZ130" s="5" t="n"/>
      <c r="BA130" s="6" t="n"/>
      <c r="BB130" s="5" t="n"/>
      <c r="BC130" s="6" t="n"/>
      <c r="BD130" s="6" t="n"/>
    </row>
    <row r="131">
      <c r="A131" s="5" t="n"/>
      <c r="B131" s="5" t="n"/>
      <c r="C131" s="5" t="n"/>
      <c r="D131" s="5" t="n"/>
      <c r="E131" s="5" t="n"/>
      <c r="F131" s="5" t="n"/>
      <c r="G131" s="6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7">
        <f>IF(OR($C131="",T131=""),"",T131-AVERAGEIF($C:$C,$C131,$T:$T))</f>
        <v/>
      </c>
      <c r="W131" s="7">
        <f>IF(OR($C131="",U131=""),"",U131-AVERAGEIF($C:$C,$C131,$U:$U))</f>
        <v/>
      </c>
      <c r="X131" s="5" t="n"/>
      <c r="Y131" s="5" t="n"/>
      <c r="Z131" s="6" t="n"/>
      <c r="AA131" s="5" t="n"/>
      <c r="AB131" s="5" t="n"/>
      <c r="AC131" s="5" t="n"/>
      <c r="AD131" s="5" t="n"/>
      <c r="AE131" s="5" t="n"/>
      <c r="AF131" s="6" t="n"/>
      <c r="AG131" s="6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7">
        <f>IF(AQ131="","",AQ131)</f>
        <v/>
      </c>
      <c r="AT131" s="7">
        <f>IF(OR(AQ131="",AI131=""),"",AQ131-AI131)</f>
        <v/>
      </c>
      <c r="AU131" s="8">
        <f>IF(OR(AT131="",AQ131=""),"",AT131/AQ131)</f>
        <v/>
      </c>
      <c r="AV131" s="5" t="n"/>
      <c r="AW131" s="5" t="n"/>
      <c r="AX131" s="5" t="n"/>
      <c r="AY131" s="5" t="n"/>
      <c r="AZ131" s="5" t="n"/>
      <c r="BA131" s="6" t="n"/>
      <c r="BB131" s="5" t="n"/>
      <c r="BC131" s="6" t="n"/>
      <c r="BD131" s="6" t="n"/>
    </row>
    <row r="132">
      <c r="A132" s="5" t="n"/>
      <c r="B132" s="5" t="n"/>
      <c r="C132" s="5" t="n"/>
      <c r="D132" s="5" t="n"/>
      <c r="E132" s="5" t="n"/>
      <c r="F132" s="5" t="n"/>
      <c r="G132" s="6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7">
        <f>IF(OR($C132="",T132=""),"",T132-AVERAGEIF($C:$C,$C132,$T:$T))</f>
        <v/>
      </c>
      <c r="W132" s="7">
        <f>IF(OR($C132="",U132=""),"",U132-AVERAGEIF($C:$C,$C132,$U:$U))</f>
        <v/>
      </c>
      <c r="X132" s="5" t="n"/>
      <c r="Y132" s="5" t="n"/>
      <c r="Z132" s="6" t="n"/>
      <c r="AA132" s="5" t="n"/>
      <c r="AB132" s="5" t="n"/>
      <c r="AC132" s="5" t="n"/>
      <c r="AD132" s="5" t="n"/>
      <c r="AE132" s="5" t="n"/>
      <c r="AF132" s="6" t="n"/>
      <c r="AG132" s="6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7">
        <f>IF(AQ132="","",AQ132)</f>
        <v/>
      </c>
      <c r="AT132" s="7">
        <f>IF(OR(AQ132="",AI132=""),"",AQ132-AI132)</f>
        <v/>
      </c>
      <c r="AU132" s="8">
        <f>IF(OR(AT132="",AQ132=""),"",AT132/AQ132)</f>
        <v/>
      </c>
      <c r="AV132" s="5" t="n"/>
      <c r="AW132" s="5" t="n"/>
      <c r="AX132" s="5" t="n"/>
      <c r="AY132" s="5" t="n"/>
      <c r="AZ132" s="5" t="n"/>
      <c r="BA132" s="6" t="n"/>
      <c r="BB132" s="5" t="n"/>
      <c r="BC132" s="6" t="n"/>
      <c r="BD132" s="6" t="n"/>
    </row>
    <row r="133">
      <c r="A133" s="5" t="n"/>
      <c r="B133" s="5" t="n"/>
      <c r="C133" s="5" t="n"/>
      <c r="D133" s="5" t="n"/>
      <c r="E133" s="5" t="n"/>
      <c r="F133" s="5" t="n"/>
      <c r="G133" s="6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7">
        <f>IF(OR($C133="",T133=""),"",T133-AVERAGEIF($C:$C,$C133,$T:$T))</f>
        <v/>
      </c>
      <c r="W133" s="7">
        <f>IF(OR($C133="",U133=""),"",U133-AVERAGEIF($C:$C,$C133,$U:$U))</f>
        <v/>
      </c>
      <c r="X133" s="5" t="n"/>
      <c r="Y133" s="5" t="n"/>
      <c r="Z133" s="6" t="n"/>
      <c r="AA133" s="5" t="n"/>
      <c r="AB133" s="5" t="n"/>
      <c r="AC133" s="5" t="n"/>
      <c r="AD133" s="5" t="n"/>
      <c r="AE133" s="5" t="n"/>
      <c r="AF133" s="6" t="n"/>
      <c r="AG133" s="6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7">
        <f>IF(AQ133="","",AQ133)</f>
        <v/>
      </c>
      <c r="AT133" s="7">
        <f>IF(OR(AQ133="",AI133=""),"",AQ133-AI133)</f>
        <v/>
      </c>
      <c r="AU133" s="8">
        <f>IF(OR(AT133="",AQ133=""),"",AT133/AQ133)</f>
        <v/>
      </c>
      <c r="AV133" s="5" t="n"/>
      <c r="AW133" s="5" t="n"/>
      <c r="AX133" s="5" t="n"/>
      <c r="AY133" s="5" t="n"/>
      <c r="AZ133" s="5" t="n"/>
      <c r="BA133" s="6" t="n"/>
      <c r="BB133" s="5" t="n"/>
      <c r="BC133" s="6" t="n"/>
      <c r="BD133" s="6" t="n"/>
    </row>
    <row r="134">
      <c r="A134" s="5" t="n"/>
      <c r="B134" s="5" t="n"/>
      <c r="C134" s="5" t="n"/>
      <c r="D134" s="5" t="n"/>
      <c r="E134" s="5" t="n"/>
      <c r="F134" s="5" t="n"/>
      <c r="G134" s="6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7">
        <f>IF(OR($C134="",T134=""),"",T134-AVERAGEIF($C:$C,$C134,$T:$T))</f>
        <v/>
      </c>
      <c r="W134" s="7">
        <f>IF(OR($C134="",U134=""),"",U134-AVERAGEIF($C:$C,$C134,$U:$U))</f>
        <v/>
      </c>
      <c r="X134" s="5" t="n"/>
      <c r="Y134" s="5" t="n"/>
      <c r="Z134" s="6" t="n"/>
      <c r="AA134" s="5" t="n"/>
      <c r="AB134" s="5" t="n"/>
      <c r="AC134" s="5" t="n"/>
      <c r="AD134" s="5" t="n"/>
      <c r="AE134" s="5" t="n"/>
      <c r="AF134" s="6" t="n"/>
      <c r="AG134" s="6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7">
        <f>IF(AQ134="","",AQ134)</f>
        <v/>
      </c>
      <c r="AT134" s="7">
        <f>IF(OR(AQ134="",AI134=""),"",AQ134-AI134)</f>
        <v/>
      </c>
      <c r="AU134" s="8">
        <f>IF(OR(AT134="",AQ134=""),"",AT134/AQ134)</f>
        <v/>
      </c>
      <c r="AV134" s="5" t="n"/>
      <c r="AW134" s="5" t="n"/>
      <c r="AX134" s="5" t="n"/>
      <c r="AY134" s="5" t="n"/>
      <c r="AZ134" s="5" t="n"/>
      <c r="BA134" s="6" t="n"/>
      <c r="BB134" s="5" t="n"/>
      <c r="BC134" s="6" t="n"/>
      <c r="BD134" s="6" t="n"/>
    </row>
    <row r="135">
      <c r="A135" s="5" t="n"/>
      <c r="B135" s="5" t="n"/>
      <c r="C135" s="5" t="n"/>
      <c r="D135" s="5" t="n"/>
      <c r="E135" s="5" t="n"/>
      <c r="F135" s="5" t="n"/>
      <c r="G135" s="6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7">
        <f>IF(OR($C135="",T135=""),"",T135-AVERAGEIF($C:$C,$C135,$T:$T))</f>
        <v/>
      </c>
      <c r="W135" s="7">
        <f>IF(OR($C135="",U135=""),"",U135-AVERAGEIF($C:$C,$C135,$U:$U))</f>
        <v/>
      </c>
      <c r="X135" s="5" t="n"/>
      <c r="Y135" s="5" t="n"/>
      <c r="Z135" s="6" t="n"/>
      <c r="AA135" s="5" t="n"/>
      <c r="AB135" s="5" t="n"/>
      <c r="AC135" s="5" t="n"/>
      <c r="AD135" s="5" t="n"/>
      <c r="AE135" s="5" t="n"/>
      <c r="AF135" s="6" t="n"/>
      <c r="AG135" s="6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7">
        <f>IF(AQ135="","",AQ135)</f>
        <v/>
      </c>
      <c r="AT135" s="7">
        <f>IF(OR(AQ135="",AI135=""),"",AQ135-AI135)</f>
        <v/>
      </c>
      <c r="AU135" s="8">
        <f>IF(OR(AT135="",AQ135=""),"",AT135/AQ135)</f>
        <v/>
      </c>
      <c r="AV135" s="5" t="n"/>
      <c r="AW135" s="5" t="n"/>
      <c r="AX135" s="5" t="n"/>
      <c r="AY135" s="5" t="n"/>
      <c r="AZ135" s="5" t="n"/>
      <c r="BA135" s="6" t="n"/>
      <c r="BB135" s="5" t="n"/>
      <c r="BC135" s="6" t="n"/>
      <c r="BD135" s="6" t="n"/>
    </row>
    <row r="136">
      <c r="A136" s="5" t="n"/>
      <c r="B136" s="5" t="n"/>
      <c r="C136" s="5" t="n"/>
      <c r="D136" s="5" t="n"/>
      <c r="E136" s="5" t="n"/>
      <c r="F136" s="5" t="n"/>
      <c r="G136" s="6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7">
        <f>IF(OR($C136="",T136=""),"",T136-AVERAGEIF($C:$C,$C136,$T:$T))</f>
        <v/>
      </c>
      <c r="W136" s="7">
        <f>IF(OR($C136="",U136=""),"",U136-AVERAGEIF($C:$C,$C136,$U:$U))</f>
        <v/>
      </c>
      <c r="X136" s="5" t="n"/>
      <c r="Y136" s="5" t="n"/>
      <c r="Z136" s="6" t="n"/>
      <c r="AA136" s="5" t="n"/>
      <c r="AB136" s="5" t="n"/>
      <c r="AC136" s="5" t="n"/>
      <c r="AD136" s="5" t="n"/>
      <c r="AE136" s="5" t="n"/>
      <c r="AF136" s="6" t="n"/>
      <c r="AG136" s="6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7">
        <f>IF(AQ136="","",AQ136)</f>
        <v/>
      </c>
      <c r="AT136" s="7">
        <f>IF(OR(AQ136="",AI136=""),"",AQ136-AI136)</f>
        <v/>
      </c>
      <c r="AU136" s="8">
        <f>IF(OR(AT136="",AQ136=""),"",AT136/AQ136)</f>
        <v/>
      </c>
      <c r="AV136" s="5" t="n"/>
      <c r="AW136" s="5" t="n"/>
      <c r="AX136" s="5" t="n"/>
      <c r="AY136" s="5" t="n"/>
      <c r="AZ136" s="5" t="n"/>
      <c r="BA136" s="6" t="n"/>
      <c r="BB136" s="5" t="n"/>
      <c r="BC136" s="6" t="n"/>
      <c r="BD136" s="6" t="n"/>
    </row>
    <row r="137">
      <c r="A137" s="5" t="n"/>
      <c r="B137" s="5" t="n"/>
      <c r="C137" s="5" t="n"/>
      <c r="D137" s="5" t="n"/>
      <c r="E137" s="5" t="n"/>
      <c r="F137" s="5" t="n"/>
      <c r="G137" s="6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7">
        <f>IF(OR($C137="",T137=""),"",T137-AVERAGEIF($C:$C,$C137,$T:$T))</f>
        <v/>
      </c>
      <c r="W137" s="7">
        <f>IF(OR($C137="",U137=""),"",U137-AVERAGEIF($C:$C,$C137,$U:$U))</f>
        <v/>
      </c>
      <c r="X137" s="5" t="n"/>
      <c r="Y137" s="5" t="n"/>
      <c r="Z137" s="6" t="n"/>
      <c r="AA137" s="5" t="n"/>
      <c r="AB137" s="5" t="n"/>
      <c r="AC137" s="5" t="n"/>
      <c r="AD137" s="5" t="n"/>
      <c r="AE137" s="5" t="n"/>
      <c r="AF137" s="6" t="n"/>
      <c r="AG137" s="6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7">
        <f>IF(AQ137="","",AQ137)</f>
        <v/>
      </c>
      <c r="AT137" s="7">
        <f>IF(OR(AQ137="",AI137=""),"",AQ137-AI137)</f>
        <v/>
      </c>
      <c r="AU137" s="8">
        <f>IF(OR(AT137="",AQ137=""),"",AT137/AQ137)</f>
        <v/>
      </c>
      <c r="AV137" s="5" t="n"/>
      <c r="AW137" s="5" t="n"/>
      <c r="AX137" s="5" t="n"/>
      <c r="AY137" s="5" t="n"/>
      <c r="AZ137" s="5" t="n"/>
      <c r="BA137" s="6" t="n"/>
      <c r="BB137" s="5" t="n"/>
      <c r="BC137" s="6" t="n"/>
      <c r="BD137" s="6" t="n"/>
    </row>
    <row r="138">
      <c r="A138" s="5" t="n"/>
      <c r="B138" s="5" t="n"/>
      <c r="C138" s="5" t="n"/>
      <c r="D138" s="5" t="n"/>
      <c r="E138" s="5" t="n"/>
      <c r="F138" s="5" t="n"/>
      <c r="G138" s="6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7">
        <f>IF(OR($C138="",T138=""),"",T138-AVERAGEIF($C:$C,$C138,$T:$T))</f>
        <v/>
      </c>
      <c r="W138" s="7">
        <f>IF(OR($C138="",U138=""),"",U138-AVERAGEIF($C:$C,$C138,$U:$U))</f>
        <v/>
      </c>
      <c r="X138" s="5" t="n"/>
      <c r="Y138" s="5" t="n"/>
      <c r="Z138" s="6" t="n"/>
      <c r="AA138" s="5" t="n"/>
      <c r="AB138" s="5" t="n"/>
      <c r="AC138" s="5" t="n"/>
      <c r="AD138" s="5" t="n"/>
      <c r="AE138" s="5" t="n"/>
      <c r="AF138" s="6" t="n"/>
      <c r="AG138" s="6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7">
        <f>IF(AQ138="","",AQ138)</f>
        <v/>
      </c>
      <c r="AT138" s="7">
        <f>IF(OR(AQ138="",AI138=""),"",AQ138-AI138)</f>
        <v/>
      </c>
      <c r="AU138" s="8">
        <f>IF(OR(AT138="",AQ138=""),"",AT138/AQ138)</f>
        <v/>
      </c>
      <c r="AV138" s="5" t="n"/>
      <c r="AW138" s="5" t="n"/>
      <c r="AX138" s="5" t="n"/>
      <c r="AY138" s="5" t="n"/>
      <c r="AZ138" s="5" t="n"/>
      <c r="BA138" s="6" t="n"/>
      <c r="BB138" s="5" t="n"/>
      <c r="BC138" s="6" t="n"/>
      <c r="BD138" s="6" t="n"/>
    </row>
    <row r="139">
      <c r="A139" s="5" t="n"/>
      <c r="B139" s="5" t="n"/>
      <c r="C139" s="5" t="n"/>
      <c r="D139" s="5" t="n"/>
      <c r="E139" s="5" t="n"/>
      <c r="F139" s="5" t="n"/>
      <c r="G139" s="6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7">
        <f>IF(OR($C139="",T139=""),"",T139-AVERAGEIF($C:$C,$C139,$T:$T))</f>
        <v/>
      </c>
      <c r="W139" s="7">
        <f>IF(OR($C139="",U139=""),"",U139-AVERAGEIF($C:$C,$C139,$U:$U))</f>
        <v/>
      </c>
      <c r="X139" s="5" t="n"/>
      <c r="Y139" s="5" t="n"/>
      <c r="Z139" s="6" t="n"/>
      <c r="AA139" s="5" t="n"/>
      <c r="AB139" s="5" t="n"/>
      <c r="AC139" s="5" t="n"/>
      <c r="AD139" s="5" t="n"/>
      <c r="AE139" s="5" t="n"/>
      <c r="AF139" s="6" t="n"/>
      <c r="AG139" s="6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7">
        <f>IF(AQ139="","",AQ139)</f>
        <v/>
      </c>
      <c r="AT139" s="7">
        <f>IF(OR(AQ139="",AI139=""),"",AQ139-AI139)</f>
        <v/>
      </c>
      <c r="AU139" s="8">
        <f>IF(OR(AT139="",AQ139=""),"",AT139/AQ139)</f>
        <v/>
      </c>
      <c r="AV139" s="5" t="n"/>
      <c r="AW139" s="5" t="n"/>
      <c r="AX139" s="5" t="n"/>
      <c r="AY139" s="5" t="n"/>
      <c r="AZ139" s="5" t="n"/>
      <c r="BA139" s="6" t="n"/>
      <c r="BB139" s="5" t="n"/>
      <c r="BC139" s="6" t="n"/>
      <c r="BD139" s="6" t="n"/>
    </row>
    <row r="140">
      <c r="A140" s="5" t="n"/>
      <c r="B140" s="5" t="n"/>
      <c r="C140" s="5" t="n"/>
      <c r="D140" s="5" t="n"/>
      <c r="E140" s="5" t="n"/>
      <c r="F140" s="5" t="n"/>
      <c r="G140" s="6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7">
        <f>IF(OR($C140="",T140=""),"",T140-AVERAGEIF($C:$C,$C140,$T:$T))</f>
        <v/>
      </c>
      <c r="W140" s="7">
        <f>IF(OR($C140="",U140=""),"",U140-AVERAGEIF($C:$C,$C140,$U:$U))</f>
        <v/>
      </c>
      <c r="X140" s="5" t="n"/>
      <c r="Y140" s="5" t="n"/>
      <c r="Z140" s="6" t="n"/>
      <c r="AA140" s="5" t="n"/>
      <c r="AB140" s="5" t="n"/>
      <c r="AC140" s="5" t="n"/>
      <c r="AD140" s="5" t="n"/>
      <c r="AE140" s="5" t="n"/>
      <c r="AF140" s="6" t="n"/>
      <c r="AG140" s="6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7">
        <f>IF(AQ140="","",AQ140)</f>
        <v/>
      </c>
      <c r="AT140" s="7">
        <f>IF(OR(AQ140="",AI140=""),"",AQ140-AI140)</f>
        <v/>
      </c>
      <c r="AU140" s="8">
        <f>IF(OR(AT140="",AQ140=""),"",AT140/AQ140)</f>
        <v/>
      </c>
      <c r="AV140" s="5" t="n"/>
      <c r="AW140" s="5" t="n"/>
      <c r="AX140" s="5" t="n"/>
      <c r="AY140" s="5" t="n"/>
      <c r="AZ140" s="5" t="n"/>
      <c r="BA140" s="6" t="n"/>
      <c r="BB140" s="5" t="n"/>
      <c r="BC140" s="6" t="n"/>
      <c r="BD140" s="6" t="n"/>
    </row>
    <row r="141">
      <c r="A141" s="5" t="n"/>
      <c r="B141" s="5" t="n"/>
      <c r="C141" s="5" t="n"/>
      <c r="D141" s="5" t="n"/>
      <c r="E141" s="5" t="n"/>
      <c r="F141" s="5" t="n"/>
      <c r="G141" s="6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7">
        <f>IF(OR($C141="",T141=""),"",T141-AVERAGEIF($C:$C,$C141,$T:$T))</f>
        <v/>
      </c>
      <c r="W141" s="7">
        <f>IF(OR($C141="",U141=""),"",U141-AVERAGEIF($C:$C,$C141,$U:$U))</f>
        <v/>
      </c>
      <c r="X141" s="5" t="n"/>
      <c r="Y141" s="5" t="n"/>
      <c r="Z141" s="6" t="n"/>
      <c r="AA141" s="5" t="n"/>
      <c r="AB141" s="5" t="n"/>
      <c r="AC141" s="5" t="n"/>
      <c r="AD141" s="5" t="n"/>
      <c r="AE141" s="5" t="n"/>
      <c r="AF141" s="6" t="n"/>
      <c r="AG141" s="6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7">
        <f>IF(AQ141="","",AQ141)</f>
        <v/>
      </c>
      <c r="AT141" s="7">
        <f>IF(OR(AQ141="",AI141=""),"",AQ141-AI141)</f>
        <v/>
      </c>
      <c r="AU141" s="8">
        <f>IF(OR(AT141="",AQ141=""),"",AT141/AQ141)</f>
        <v/>
      </c>
      <c r="AV141" s="5" t="n"/>
      <c r="AW141" s="5" t="n"/>
      <c r="AX141" s="5" t="n"/>
      <c r="AY141" s="5" t="n"/>
      <c r="AZ141" s="5" t="n"/>
      <c r="BA141" s="6" t="n"/>
      <c r="BB141" s="5" t="n"/>
      <c r="BC141" s="6" t="n"/>
      <c r="BD141" s="6" t="n"/>
    </row>
    <row r="142">
      <c r="A142" s="5" t="n"/>
      <c r="B142" s="5" t="n"/>
      <c r="C142" s="5" t="n"/>
      <c r="D142" s="5" t="n"/>
      <c r="E142" s="5" t="n"/>
      <c r="F142" s="5" t="n"/>
      <c r="G142" s="6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7">
        <f>IF(OR($C142="",T142=""),"",T142-AVERAGEIF($C:$C,$C142,$T:$T))</f>
        <v/>
      </c>
      <c r="W142" s="7">
        <f>IF(OR($C142="",U142=""),"",U142-AVERAGEIF($C:$C,$C142,$U:$U))</f>
        <v/>
      </c>
      <c r="X142" s="5" t="n"/>
      <c r="Y142" s="5" t="n"/>
      <c r="Z142" s="6" t="n"/>
      <c r="AA142" s="5" t="n"/>
      <c r="AB142" s="5" t="n"/>
      <c r="AC142" s="5" t="n"/>
      <c r="AD142" s="5" t="n"/>
      <c r="AE142" s="5" t="n"/>
      <c r="AF142" s="6" t="n"/>
      <c r="AG142" s="6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7">
        <f>IF(AQ142="","",AQ142)</f>
        <v/>
      </c>
      <c r="AT142" s="7">
        <f>IF(OR(AQ142="",AI142=""),"",AQ142-AI142)</f>
        <v/>
      </c>
      <c r="AU142" s="8">
        <f>IF(OR(AT142="",AQ142=""),"",AT142/AQ142)</f>
        <v/>
      </c>
      <c r="AV142" s="5" t="n"/>
      <c r="AW142" s="5" t="n"/>
      <c r="AX142" s="5" t="n"/>
      <c r="AY142" s="5" t="n"/>
      <c r="AZ142" s="5" t="n"/>
      <c r="BA142" s="6" t="n"/>
      <c r="BB142" s="5" t="n"/>
      <c r="BC142" s="6" t="n"/>
      <c r="BD142" s="6" t="n"/>
    </row>
    <row r="143">
      <c r="A143" s="5" t="n"/>
      <c r="B143" s="5" t="n"/>
      <c r="C143" s="5" t="n"/>
      <c r="D143" s="5" t="n"/>
      <c r="E143" s="5" t="n"/>
      <c r="F143" s="5" t="n"/>
      <c r="G143" s="6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7">
        <f>IF(OR($C143="",T143=""),"",T143-AVERAGEIF($C:$C,$C143,$T:$T))</f>
        <v/>
      </c>
      <c r="W143" s="7">
        <f>IF(OR($C143="",U143=""),"",U143-AVERAGEIF($C:$C,$C143,$U:$U))</f>
        <v/>
      </c>
      <c r="X143" s="5" t="n"/>
      <c r="Y143" s="5" t="n"/>
      <c r="Z143" s="6" t="n"/>
      <c r="AA143" s="5" t="n"/>
      <c r="AB143" s="5" t="n"/>
      <c r="AC143" s="5" t="n"/>
      <c r="AD143" s="5" t="n"/>
      <c r="AE143" s="5" t="n"/>
      <c r="AF143" s="6" t="n"/>
      <c r="AG143" s="6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7">
        <f>IF(AQ143="","",AQ143)</f>
        <v/>
      </c>
      <c r="AT143" s="7">
        <f>IF(OR(AQ143="",AI143=""),"",AQ143-AI143)</f>
        <v/>
      </c>
      <c r="AU143" s="8">
        <f>IF(OR(AT143="",AQ143=""),"",AT143/AQ143)</f>
        <v/>
      </c>
      <c r="AV143" s="5" t="n"/>
      <c r="AW143" s="5" t="n"/>
      <c r="AX143" s="5" t="n"/>
      <c r="AY143" s="5" t="n"/>
      <c r="AZ143" s="5" t="n"/>
      <c r="BA143" s="6" t="n"/>
      <c r="BB143" s="5" t="n"/>
      <c r="BC143" s="6" t="n"/>
      <c r="BD143" s="6" t="n"/>
    </row>
    <row r="144">
      <c r="A144" s="5" t="n"/>
      <c r="B144" s="5" t="n"/>
      <c r="C144" s="5" t="n"/>
      <c r="D144" s="5" t="n"/>
      <c r="E144" s="5" t="n"/>
      <c r="F144" s="5" t="n"/>
      <c r="G144" s="6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7">
        <f>IF(OR($C144="",T144=""),"",T144-AVERAGEIF($C:$C,$C144,$T:$T))</f>
        <v/>
      </c>
      <c r="W144" s="7">
        <f>IF(OR($C144="",U144=""),"",U144-AVERAGEIF($C:$C,$C144,$U:$U))</f>
        <v/>
      </c>
      <c r="X144" s="5" t="n"/>
      <c r="Y144" s="5" t="n"/>
      <c r="Z144" s="6" t="n"/>
      <c r="AA144" s="5" t="n"/>
      <c r="AB144" s="5" t="n"/>
      <c r="AC144" s="5" t="n"/>
      <c r="AD144" s="5" t="n"/>
      <c r="AE144" s="5" t="n"/>
      <c r="AF144" s="6" t="n"/>
      <c r="AG144" s="6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7">
        <f>IF(AQ144="","",AQ144)</f>
        <v/>
      </c>
      <c r="AT144" s="7">
        <f>IF(OR(AQ144="",AI144=""),"",AQ144-AI144)</f>
        <v/>
      </c>
      <c r="AU144" s="8">
        <f>IF(OR(AT144="",AQ144=""),"",AT144/AQ144)</f>
        <v/>
      </c>
      <c r="AV144" s="5" t="n"/>
      <c r="AW144" s="5" t="n"/>
      <c r="AX144" s="5" t="n"/>
      <c r="AY144" s="5" t="n"/>
      <c r="AZ144" s="5" t="n"/>
      <c r="BA144" s="6" t="n"/>
      <c r="BB144" s="5" t="n"/>
      <c r="BC144" s="6" t="n"/>
      <c r="BD144" s="6" t="n"/>
    </row>
    <row r="145">
      <c r="A145" s="5" t="n"/>
      <c r="B145" s="5" t="n"/>
      <c r="C145" s="5" t="n"/>
      <c r="D145" s="5" t="n"/>
      <c r="E145" s="5" t="n"/>
      <c r="F145" s="5" t="n"/>
      <c r="G145" s="6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7">
        <f>IF(OR($C145="",T145=""),"",T145-AVERAGEIF($C:$C,$C145,$T:$T))</f>
        <v/>
      </c>
      <c r="W145" s="7">
        <f>IF(OR($C145="",U145=""),"",U145-AVERAGEIF($C:$C,$C145,$U:$U))</f>
        <v/>
      </c>
      <c r="X145" s="5" t="n"/>
      <c r="Y145" s="5" t="n"/>
      <c r="Z145" s="6" t="n"/>
      <c r="AA145" s="5" t="n"/>
      <c r="AB145" s="5" t="n"/>
      <c r="AC145" s="5" t="n"/>
      <c r="AD145" s="5" t="n"/>
      <c r="AE145" s="5" t="n"/>
      <c r="AF145" s="6" t="n"/>
      <c r="AG145" s="6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7">
        <f>IF(AQ145="","",AQ145)</f>
        <v/>
      </c>
      <c r="AT145" s="7">
        <f>IF(OR(AQ145="",AI145=""),"",AQ145-AI145)</f>
        <v/>
      </c>
      <c r="AU145" s="8">
        <f>IF(OR(AT145="",AQ145=""),"",AT145/AQ145)</f>
        <v/>
      </c>
      <c r="AV145" s="5" t="n"/>
      <c r="AW145" s="5" t="n"/>
      <c r="AX145" s="5" t="n"/>
      <c r="AY145" s="5" t="n"/>
      <c r="AZ145" s="5" t="n"/>
      <c r="BA145" s="6" t="n"/>
      <c r="BB145" s="5" t="n"/>
      <c r="BC145" s="6" t="n"/>
      <c r="BD145" s="6" t="n"/>
    </row>
    <row r="146">
      <c r="A146" s="5" t="n"/>
      <c r="B146" s="5" t="n"/>
      <c r="C146" s="5" t="n"/>
      <c r="D146" s="5" t="n"/>
      <c r="E146" s="5" t="n"/>
      <c r="F146" s="5" t="n"/>
      <c r="G146" s="6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7">
        <f>IF(OR($C146="",T146=""),"",T146-AVERAGEIF($C:$C,$C146,$T:$T))</f>
        <v/>
      </c>
      <c r="W146" s="7">
        <f>IF(OR($C146="",U146=""),"",U146-AVERAGEIF($C:$C,$C146,$U:$U))</f>
        <v/>
      </c>
      <c r="X146" s="5" t="n"/>
      <c r="Y146" s="5" t="n"/>
      <c r="Z146" s="6" t="n"/>
      <c r="AA146" s="5" t="n"/>
      <c r="AB146" s="5" t="n"/>
      <c r="AC146" s="5" t="n"/>
      <c r="AD146" s="5" t="n"/>
      <c r="AE146" s="5" t="n"/>
      <c r="AF146" s="6" t="n"/>
      <c r="AG146" s="6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7">
        <f>IF(AQ146="","",AQ146)</f>
        <v/>
      </c>
      <c r="AT146" s="7">
        <f>IF(OR(AQ146="",AI146=""),"",AQ146-AI146)</f>
        <v/>
      </c>
      <c r="AU146" s="8">
        <f>IF(OR(AT146="",AQ146=""),"",AT146/AQ146)</f>
        <v/>
      </c>
      <c r="AV146" s="5" t="n"/>
      <c r="AW146" s="5" t="n"/>
      <c r="AX146" s="5" t="n"/>
      <c r="AY146" s="5" t="n"/>
      <c r="AZ146" s="5" t="n"/>
      <c r="BA146" s="6" t="n"/>
      <c r="BB146" s="5" t="n"/>
      <c r="BC146" s="6" t="n"/>
      <c r="BD146" s="6" t="n"/>
    </row>
    <row r="147">
      <c r="A147" s="5" t="n"/>
      <c r="B147" s="5" t="n"/>
      <c r="C147" s="5" t="n"/>
      <c r="D147" s="5" t="n"/>
      <c r="E147" s="5" t="n"/>
      <c r="F147" s="5" t="n"/>
      <c r="G147" s="6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7">
        <f>IF(OR($C147="",T147=""),"",T147-AVERAGEIF($C:$C,$C147,$T:$T))</f>
        <v/>
      </c>
      <c r="W147" s="7">
        <f>IF(OR($C147="",U147=""),"",U147-AVERAGEIF($C:$C,$C147,$U:$U))</f>
        <v/>
      </c>
      <c r="X147" s="5" t="n"/>
      <c r="Y147" s="5" t="n"/>
      <c r="Z147" s="6" t="n"/>
      <c r="AA147" s="5" t="n"/>
      <c r="AB147" s="5" t="n"/>
      <c r="AC147" s="5" t="n"/>
      <c r="AD147" s="5" t="n"/>
      <c r="AE147" s="5" t="n"/>
      <c r="AF147" s="6" t="n"/>
      <c r="AG147" s="6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7">
        <f>IF(AQ147="","",AQ147)</f>
        <v/>
      </c>
      <c r="AT147" s="7">
        <f>IF(OR(AQ147="",AI147=""),"",AQ147-AI147)</f>
        <v/>
      </c>
      <c r="AU147" s="8">
        <f>IF(OR(AT147="",AQ147=""),"",AT147/AQ147)</f>
        <v/>
      </c>
      <c r="AV147" s="5" t="n"/>
      <c r="AW147" s="5" t="n"/>
      <c r="AX147" s="5" t="n"/>
      <c r="AY147" s="5" t="n"/>
      <c r="AZ147" s="5" t="n"/>
      <c r="BA147" s="6" t="n"/>
      <c r="BB147" s="5" t="n"/>
      <c r="BC147" s="6" t="n"/>
      <c r="BD147" s="6" t="n"/>
    </row>
    <row r="148">
      <c r="A148" s="5" t="n"/>
      <c r="B148" s="5" t="n"/>
      <c r="C148" s="5" t="n"/>
      <c r="D148" s="5" t="n"/>
      <c r="E148" s="5" t="n"/>
      <c r="F148" s="5" t="n"/>
      <c r="G148" s="6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7">
        <f>IF(OR($C148="",T148=""),"",T148-AVERAGEIF($C:$C,$C148,$T:$T))</f>
        <v/>
      </c>
      <c r="W148" s="7">
        <f>IF(OR($C148="",U148=""),"",U148-AVERAGEIF($C:$C,$C148,$U:$U))</f>
        <v/>
      </c>
      <c r="X148" s="5" t="n"/>
      <c r="Y148" s="5" t="n"/>
      <c r="Z148" s="6" t="n"/>
      <c r="AA148" s="5" t="n"/>
      <c r="AB148" s="5" t="n"/>
      <c r="AC148" s="5" t="n"/>
      <c r="AD148" s="5" t="n"/>
      <c r="AE148" s="5" t="n"/>
      <c r="AF148" s="6" t="n"/>
      <c r="AG148" s="6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7">
        <f>IF(AQ148="","",AQ148)</f>
        <v/>
      </c>
      <c r="AT148" s="7">
        <f>IF(OR(AQ148="",AI148=""),"",AQ148-AI148)</f>
        <v/>
      </c>
      <c r="AU148" s="8">
        <f>IF(OR(AT148="",AQ148=""),"",AT148/AQ148)</f>
        <v/>
      </c>
      <c r="AV148" s="5" t="n"/>
      <c r="AW148" s="5" t="n"/>
      <c r="AX148" s="5" t="n"/>
      <c r="AY148" s="5" t="n"/>
      <c r="AZ148" s="5" t="n"/>
      <c r="BA148" s="6" t="n"/>
      <c r="BB148" s="5" t="n"/>
      <c r="BC148" s="6" t="n"/>
      <c r="BD148" s="6" t="n"/>
    </row>
    <row r="149">
      <c r="A149" s="5" t="n"/>
      <c r="B149" s="5" t="n"/>
      <c r="C149" s="5" t="n"/>
      <c r="D149" s="5" t="n"/>
      <c r="E149" s="5" t="n"/>
      <c r="F149" s="5" t="n"/>
      <c r="G149" s="6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7">
        <f>IF(OR($C149="",T149=""),"",T149-AVERAGEIF($C:$C,$C149,$T:$T))</f>
        <v/>
      </c>
      <c r="W149" s="7">
        <f>IF(OR($C149="",U149=""),"",U149-AVERAGEIF($C:$C,$C149,$U:$U))</f>
        <v/>
      </c>
      <c r="X149" s="5" t="n"/>
      <c r="Y149" s="5" t="n"/>
      <c r="Z149" s="6" t="n"/>
      <c r="AA149" s="5" t="n"/>
      <c r="AB149" s="5" t="n"/>
      <c r="AC149" s="5" t="n"/>
      <c r="AD149" s="5" t="n"/>
      <c r="AE149" s="5" t="n"/>
      <c r="AF149" s="6" t="n"/>
      <c r="AG149" s="6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7">
        <f>IF(AQ149="","",AQ149)</f>
        <v/>
      </c>
      <c r="AT149" s="7">
        <f>IF(OR(AQ149="",AI149=""),"",AQ149-AI149)</f>
        <v/>
      </c>
      <c r="AU149" s="8">
        <f>IF(OR(AT149="",AQ149=""),"",AT149/AQ149)</f>
        <v/>
      </c>
      <c r="AV149" s="5" t="n"/>
      <c r="AW149" s="5" t="n"/>
      <c r="AX149" s="5" t="n"/>
      <c r="AY149" s="5" t="n"/>
      <c r="AZ149" s="5" t="n"/>
      <c r="BA149" s="6" t="n"/>
      <c r="BB149" s="5" t="n"/>
      <c r="BC149" s="6" t="n"/>
      <c r="BD149" s="6" t="n"/>
    </row>
    <row r="150">
      <c r="A150" s="5" t="n"/>
      <c r="B150" s="5" t="n"/>
      <c r="C150" s="5" t="n"/>
      <c r="D150" s="5" t="n"/>
      <c r="E150" s="5" t="n"/>
      <c r="F150" s="5" t="n"/>
      <c r="G150" s="6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7">
        <f>IF(OR($C150="",T150=""),"",T150-AVERAGEIF($C:$C,$C150,$T:$T))</f>
        <v/>
      </c>
      <c r="W150" s="7">
        <f>IF(OR($C150="",U150=""),"",U150-AVERAGEIF($C:$C,$C150,$U:$U))</f>
        <v/>
      </c>
      <c r="X150" s="5" t="n"/>
      <c r="Y150" s="5" t="n"/>
      <c r="Z150" s="6" t="n"/>
      <c r="AA150" s="5" t="n"/>
      <c r="AB150" s="5" t="n"/>
      <c r="AC150" s="5" t="n"/>
      <c r="AD150" s="5" t="n"/>
      <c r="AE150" s="5" t="n"/>
      <c r="AF150" s="6" t="n"/>
      <c r="AG150" s="6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7">
        <f>IF(AQ150="","",AQ150)</f>
        <v/>
      </c>
      <c r="AT150" s="7">
        <f>IF(OR(AQ150="",AI150=""),"",AQ150-AI150)</f>
        <v/>
      </c>
      <c r="AU150" s="8">
        <f>IF(OR(AT150="",AQ150=""),"",AT150/AQ150)</f>
        <v/>
      </c>
      <c r="AV150" s="5" t="n"/>
      <c r="AW150" s="5" t="n"/>
      <c r="AX150" s="5" t="n"/>
      <c r="AY150" s="5" t="n"/>
      <c r="AZ150" s="5" t="n"/>
      <c r="BA150" s="6" t="n"/>
      <c r="BB150" s="5" t="n"/>
      <c r="BC150" s="6" t="n"/>
      <c r="BD150" s="6" t="n"/>
    </row>
    <row r="151">
      <c r="A151" s="5" t="n"/>
      <c r="B151" s="5" t="n"/>
      <c r="C151" s="5" t="n"/>
      <c r="D151" s="5" t="n"/>
      <c r="E151" s="5" t="n"/>
      <c r="F151" s="5" t="n"/>
      <c r="G151" s="6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7">
        <f>IF(OR($C151="",T151=""),"",T151-AVERAGEIF($C:$C,$C151,$T:$T))</f>
        <v/>
      </c>
      <c r="W151" s="7">
        <f>IF(OR($C151="",U151=""),"",U151-AVERAGEIF($C:$C,$C151,$U:$U))</f>
        <v/>
      </c>
      <c r="X151" s="5" t="n"/>
      <c r="Y151" s="5" t="n"/>
      <c r="Z151" s="6" t="n"/>
      <c r="AA151" s="5" t="n"/>
      <c r="AB151" s="5" t="n"/>
      <c r="AC151" s="5" t="n"/>
      <c r="AD151" s="5" t="n"/>
      <c r="AE151" s="5" t="n"/>
      <c r="AF151" s="6" t="n"/>
      <c r="AG151" s="6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7">
        <f>IF(AQ151="","",AQ151)</f>
        <v/>
      </c>
      <c r="AT151" s="7">
        <f>IF(OR(AQ151="",AI151=""),"",AQ151-AI151)</f>
        <v/>
      </c>
      <c r="AU151" s="8">
        <f>IF(OR(AT151="",AQ151=""),"",AT151/AQ151)</f>
        <v/>
      </c>
      <c r="AV151" s="5" t="n"/>
      <c r="AW151" s="5" t="n"/>
      <c r="AX151" s="5" t="n"/>
      <c r="AY151" s="5" t="n"/>
      <c r="AZ151" s="5" t="n"/>
      <c r="BA151" s="6" t="n"/>
      <c r="BB151" s="5" t="n"/>
      <c r="BC151" s="6" t="n"/>
      <c r="BD151" s="6" t="n"/>
    </row>
    <row r="152">
      <c r="A152" s="5" t="n"/>
      <c r="B152" s="5" t="n"/>
      <c r="C152" s="5" t="n"/>
      <c r="D152" s="5" t="n"/>
      <c r="E152" s="5" t="n"/>
      <c r="F152" s="5" t="n"/>
      <c r="G152" s="6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7">
        <f>IF(OR($C152="",T152=""),"",T152-AVERAGEIF($C:$C,$C152,$T:$T))</f>
        <v/>
      </c>
      <c r="W152" s="7">
        <f>IF(OR($C152="",U152=""),"",U152-AVERAGEIF($C:$C,$C152,$U:$U))</f>
        <v/>
      </c>
      <c r="X152" s="5" t="n"/>
      <c r="Y152" s="5" t="n"/>
      <c r="Z152" s="6" t="n"/>
      <c r="AA152" s="5" t="n"/>
      <c r="AB152" s="5" t="n"/>
      <c r="AC152" s="5" t="n"/>
      <c r="AD152" s="5" t="n"/>
      <c r="AE152" s="5" t="n"/>
      <c r="AF152" s="6" t="n"/>
      <c r="AG152" s="6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7">
        <f>IF(AQ152="","",AQ152)</f>
        <v/>
      </c>
      <c r="AT152" s="7">
        <f>IF(OR(AQ152="",AI152=""),"",AQ152-AI152)</f>
        <v/>
      </c>
      <c r="AU152" s="8">
        <f>IF(OR(AT152="",AQ152=""),"",AT152/AQ152)</f>
        <v/>
      </c>
      <c r="AV152" s="5" t="n"/>
      <c r="AW152" s="5" t="n"/>
      <c r="AX152" s="5" t="n"/>
      <c r="AY152" s="5" t="n"/>
      <c r="AZ152" s="5" t="n"/>
      <c r="BA152" s="6" t="n"/>
      <c r="BB152" s="5" t="n"/>
      <c r="BC152" s="6" t="n"/>
      <c r="BD152" s="6" t="n"/>
    </row>
    <row r="153">
      <c r="A153" s="5" t="n"/>
      <c r="B153" s="5" t="n"/>
      <c r="C153" s="5" t="n"/>
      <c r="D153" s="5" t="n"/>
      <c r="E153" s="5" t="n"/>
      <c r="F153" s="5" t="n"/>
      <c r="G153" s="6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7">
        <f>IF(OR($C153="",T153=""),"",T153-AVERAGEIF($C:$C,$C153,$T:$T))</f>
        <v/>
      </c>
      <c r="W153" s="7">
        <f>IF(OR($C153="",U153=""),"",U153-AVERAGEIF($C:$C,$C153,$U:$U))</f>
        <v/>
      </c>
      <c r="X153" s="5" t="n"/>
      <c r="Y153" s="5" t="n"/>
      <c r="Z153" s="6" t="n"/>
      <c r="AA153" s="5" t="n"/>
      <c r="AB153" s="5" t="n"/>
      <c r="AC153" s="5" t="n"/>
      <c r="AD153" s="5" t="n"/>
      <c r="AE153" s="5" t="n"/>
      <c r="AF153" s="6" t="n"/>
      <c r="AG153" s="6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7">
        <f>IF(AQ153="","",AQ153)</f>
        <v/>
      </c>
      <c r="AT153" s="7">
        <f>IF(OR(AQ153="",AI153=""),"",AQ153-AI153)</f>
        <v/>
      </c>
      <c r="AU153" s="8">
        <f>IF(OR(AT153="",AQ153=""),"",AT153/AQ153)</f>
        <v/>
      </c>
      <c r="AV153" s="5" t="n"/>
      <c r="AW153" s="5" t="n"/>
      <c r="AX153" s="5" t="n"/>
      <c r="AY153" s="5" t="n"/>
      <c r="AZ153" s="5" t="n"/>
      <c r="BA153" s="6" t="n"/>
      <c r="BB153" s="5" t="n"/>
      <c r="BC153" s="6" t="n"/>
      <c r="BD153" s="6" t="n"/>
    </row>
    <row r="154">
      <c r="A154" s="5" t="n"/>
      <c r="B154" s="5" t="n"/>
      <c r="C154" s="5" t="n"/>
      <c r="D154" s="5" t="n"/>
      <c r="E154" s="5" t="n"/>
      <c r="F154" s="5" t="n"/>
      <c r="G154" s="6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7">
        <f>IF(OR($C154="",T154=""),"",T154-AVERAGEIF($C:$C,$C154,$T:$T))</f>
        <v/>
      </c>
      <c r="W154" s="7">
        <f>IF(OR($C154="",U154=""),"",U154-AVERAGEIF($C:$C,$C154,$U:$U))</f>
        <v/>
      </c>
      <c r="X154" s="5" t="n"/>
      <c r="Y154" s="5" t="n"/>
      <c r="Z154" s="6" t="n"/>
      <c r="AA154" s="5" t="n"/>
      <c r="AB154" s="5" t="n"/>
      <c r="AC154" s="5" t="n"/>
      <c r="AD154" s="5" t="n"/>
      <c r="AE154" s="5" t="n"/>
      <c r="AF154" s="6" t="n"/>
      <c r="AG154" s="6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7">
        <f>IF(AQ154="","",AQ154)</f>
        <v/>
      </c>
      <c r="AT154" s="7">
        <f>IF(OR(AQ154="",AI154=""),"",AQ154-AI154)</f>
        <v/>
      </c>
      <c r="AU154" s="8">
        <f>IF(OR(AT154="",AQ154=""),"",AT154/AQ154)</f>
        <v/>
      </c>
      <c r="AV154" s="5" t="n"/>
      <c r="AW154" s="5" t="n"/>
      <c r="AX154" s="5" t="n"/>
      <c r="AY154" s="5" t="n"/>
      <c r="AZ154" s="5" t="n"/>
      <c r="BA154" s="6" t="n"/>
      <c r="BB154" s="5" t="n"/>
      <c r="BC154" s="6" t="n"/>
      <c r="BD154" s="6" t="n"/>
    </row>
    <row r="155">
      <c r="A155" s="5" t="n"/>
      <c r="B155" s="5" t="n"/>
      <c r="C155" s="5" t="n"/>
      <c r="D155" s="5" t="n"/>
      <c r="E155" s="5" t="n"/>
      <c r="F155" s="5" t="n"/>
      <c r="G155" s="6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7">
        <f>IF(OR($C155="",T155=""),"",T155-AVERAGEIF($C:$C,$C155,$T:$T))</f>
        <v/>
      </c>
      <c r="W155" s="7">
        <f>IF(OR($C155="",U155=""),"",U155-AVERAGEIF($C:$C,$C155,$U:$U))</f>
        <v/>
      </c>
      <c r="X155" s="5" t="n"/>
      <c r="Y155" s="5" t="n"/>
      <c r="Z155" s="6" t="n"/>
      <c r="AA155" s="5" t="n"/>
      <c r="AB155" s="5" t="n"/>
      <c r="AC155" s="5" t="n"/>
      <c r="AD155" s="5" t="n"/>
      <c r="AE155" s="5" t="n"/>
      <c r="AF155" s="6" t="n"/>
      <c r="AG155" s="6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7">
        <f>IF(AQ155="","",AQ155)</f>
        <v/>
      </c>
      <c r="AT155" s="7">
        <f>IF(OR(AQ155="",AI155=""),"",AQ155-AI155)</f>
        <v/>
      </c>
      <c r="AU155" s="8">
        <f>IF(OR(AT155="",AQ155=""),"",AT155/AQ155)</f>
        <v/>
      </c>
      <c r="AV155" s="5" t="n"/>
      <c r="AW155" s="5" t="n"/>
      <c r="AX155" s="5" t="n"/>
      <c r="AY155" s="5" t="n"/>
      <c r="AZ155" s="5" t="n"/>
      <c r="BA155" s="6" t="n"/>
      <c r="BB155" s="5" t="n"/>
      <c r="BC155" s="6" t="n"/>
      <c r="BD155" s="6" t="n"/>
    </row>
    <row r="156">
      <c r="A156" s="5" t="n"/>
      <c r="B156" s="5" t="n"/>
      <c r="C156" s="5" t="n"/>
      <c r="D156" s="5" t="n"/>
      <c r="E156" s="5" t="n"/>
      <c r="F156" s="5" t="n"/>
      <c r="G156" s="6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7">
        <f>IF(OR($C156="",T156=""),"",T156-AVERAGEIF($C:$C,$C156,$T:$T))</f>
        <v/>
      </c>
      <c r="W156" s="7">
        <f>IF(OR($C156="",U156=""),"",U156-AVERAGEIF($C:$C,$C156,$U:$U))</f>
        <v/>
      </c>
      <c r="X156" s="5" t="n"/>
      <c r="Y156" s="5" t="n"/>
      <c r="Z156" s="6" t="n"/>
      <c r="AA156" s="5" t="n"/>
      <c r="AB156" s="5" t="n"/>
      <c r="AC156" s="5" t="n"/>
      <c r="AD156" s="5" t="n"/>
      <c r="AE156" s="5" t="n"/>
      <c r="AF156" s="6" t="n"/>
      <c r="AG156" s="6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7">
        <f>IF(AQ156="","",AQ156)</f>
        <v/>
      </c>
      <c r="AT156" s="7">
        <f>IF(OR(AQ156="",AI156=""),"",AQ156-AI156)</f>
        <v/>
      </c>
      <c r="AU156" s="8">
        <f>IF(OR(AT156="",AQ156=""),"",AT156/AQ156)</f>
        <v/>
      </c>
      <c r="AV156" s="5" t="n"/>
      <c r="AW156" s="5" t="n"/>
      <c r="AX156" s="5" t="n"/>
      <c r="AY156" s="5" t="n"/>
      <c r="AZ156" s="5" t="n"/>
      <c r="BA156" s="6" t="n"/>
      <c r="BB156" s="5" t="n"/>
      <c r="BC156" s="6" t="n"/>
      <c r="BD156" s="6" t="n"/>
    </row>
    <row r="157">
      <c r="A157" s="5" t="n"/>
      <c r="B157" s="5" t="n"/>
      <c r="C157" s="5" t="n"/>
      <c r="D157" s="5" t="n"/>
      <c r="E157" s="5" t="n"/>
      <c r="F157" s="5" t="n"/>
      <c r="G157" s="6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7">
        <f>IF(OR($C157="",T157=""),"",T157-AVERAGEIF($C:$C,$C157,$T:$T))</f>
        <v/>
      </c>
      <c r="W157" s="7">
        <f>IF(OR($C157="",U157=""),"",U157-AVERAGEIF($C:$C,$C157,$U:$U))</f>
        <v/>
      </c>
      <c r="X157" s="5" t="n"/>
      <c r="Y157" s="5" t="n"/>
      <c r="Z157" s="6" t="n"/>
      <c r="AA157" s="5" t="n"/>
      <c r="AB157" s="5" t="n"/>
      <c r="AC157" s="5" t="n"/>
      <c r="AD157" s="5" t="n"/>
      <c r="AE157" s="5" t="n"/>
      <c r="AF157" s="6" t="n"/>
      <c r="AG157" s="6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7">
        <f>IF(AQ157="","",AQ157)</f>
        <v/>
      </c>
      <c r="AT157" s="7">
        <f>IF(OR(AQ157="",AI157=""),"",AQ157-AI157)</f>
        <v/>
      </c>
      <c r="AU157" s="8">
        <f>IF(OR(AT157="",AQ157=""),"",AT157/AQ157)</f>
        <v/>
      </c>
      <c r="AV157" s="5" t="n"/>
      <c r="AW157" s="5" t="n"/>
      <c r="AX157" s="5" t="n"/>
      <c r="AY157" s="5" t="n"/>
      <c r="AZ157" s="5" t="n"/>
      <c r="BA157" s="6" t="n"/>
      <c r="BB157" s="5" t="n"/>
      <c r="BC157" s="6" t="n"/>
      <c r="BD157" s="6" t="n"/>
    </row>
    <row r="158">
      <c r="A158" s="5" t="n"/>
      <c r="B158" s="5" t="n"/>
      <c r="C158" s="5" t="n"/>
      <c r="D158" s="5" t="n"/>
      <c r="E158" s="5" t="n"/>
      <c r="F158" s="5" t="n"/>
      <c r="G158" s="6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7">
        <f>IF(OR($C158="",T158=""),"",T158-AVERAGEIF($C:$C,$C158,$T:$T))</f>
        <v/>
      </c>
      <c r="W158" s="7">
        <f>IF(OR($C158="",U158=""),"",U158-AVERAGEIF($C:$C,$C158,$U:$U))</f>
        <v/>
      </c>
      <c r="X158" s="5" t="n"/>
      <c r="Y158" s="5" t="n"/>
      <c r="Z158" s="6" t="n"/>
      <c r="AA158" s="5" t="n"/>
      <c r="AB158" s="5" t="n"/>
      <c r="AC158" s="5" t="n"/>
      <c r="AD158" s="5" t="n"/>
      <c r="AE158" s="5" t="n"/>
      <c r="AF158" s="6" t="n"/>
      <c r="AG158" s="6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7">
        <f>IF(AQ158="","",AQ158)</f>
        <v/>
      </c>
      <c r="AT158" s="7">
        <f>IF(OR(AQ158="",AI158=""),"",AQ158-AI158)</f>
        <v/>
      </c>
      <c r="AU158" s="8">
        <f>IF(OR(AT158="",AQ158=""),"",AT158/AQ158)</f>
        <v/>
      </c>
      <c r="AV158" s="5" t="n"/>
      <c r="AW158" s="5" t="n"/>
      <c r="AX158" s="5" t="n"/>
      <c r="AY158" s="5" t="n"/>
      <c r="AZ158" s="5" t="n"/>
      <c r="BA158" s="6" t="n"/>
      <c r="BB158" s="5" t="n"/>
      <c r="BC158" s="6" t="n"/>
      <c r="BD158" s="6" t="n"/>
    </row>
    <row r="159">
      <c r="A159" s="5" t="n"/>
      <c r="B159" s="5" t="n"/>
      <c r="C159" s="5" t="n"/>
      <c r="D159" s="5" t="n"/>
      <c r="E159" s="5" t="n"/>
      <c r="F159" s="5" t="n"/>
      <c r="G159" s="6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7">
        <f>IF(OR($C159="",T159=""),"",T159-AVERAGEIF($C:$C,$C159,$T:$T))</f>
        <v/>
      </c>
      <c r="W159" s="7">
        <f>IF(OR($C159="",U159=""),"",U159-AVERAGEIF($C:$C,$C159,$U:$U))</f>
        <v/>
      </c>
      <c r="X159" s="5" t="n"/>
      <c r="Y159" s="5" t="n"/>
      <c r="Z159" s="6" t="n"/>
      <c r="AA159" s="5" t="n"/>
      <c r="AB159" s="5" t="n"/>
      <c r="AC159" s="5" t="n"/>
      <c r="AD159" s="5" t="n"/>
      <c r="AE159" s="5" t="n"/>
      <c r="AF159" s="6" t="n"/>
      <c r="AG159" s="6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7">
        <f>IF(AQ159="","",AQ159)</f>
        <v/>
      </c>
      <c r="AT159" s="7">
        <f>IF(OR(AQ159="",AI159=""),"",AQ159-AI159)</f>
        <v/>
      </c>
      <c r="AU159" s="8">
        <f>IF(OR(AT159="",AQ159=""),"",AT159/AQ159)</f>
        <v/>
      </c>
      <c r="AV159" s="5" t="n"/>
      <c r="AW159" s="5" t="n"/>
      <c r="AX159" s="5" t="n"/>
      <c r="AY159" s="5" t="n"/>
      <c r="AZ159" s="5" t="n"/>
      <c r="BA159" s="6" t="n"/>
      <c r="BB159" s="5" t="n"/>
      <c r="BC159" s="6" t="n"/>
      <c r="BD159" s="6" t="n"/>
    </row>
    <row r="160">
      <c r="A160" s="5" t="n"/>
      <c r="B160" s="5" t="n"/>
      <c r="C160" s="5" t="n"/>
      <c r="D160" s="5" t="n"/>
      <c r="E160" s="5" t="n"/>
      <c r="F160" s="5" t="n"/>
      <c r="G160" s="6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7">
        <f>IF(OR($C160="",T160=""),"",T160-AVERAGEIF($C:$C,$C160,$T:$T))</f>
        <v/>
      </c>
      <c r="W160" s="7">
        <f>IF(OR($C160="",U160=""),"",U160-AVERAGEIF($C:$C,$C160,$U:$U))</f>
        <v/>
      </c>
      <c r="X160" s="5" t="n"/>
      <c r="Y160" s="5" t="n"/>
      <c r="Z160" s="6" t="n"/>
      <c r="AA160" s="5" t="n"/>
      <c r="AB160" s="5" t="n"/>
      <c r="AC160" s="5" t="n"/>
      <c r="AD160" s="5" t="n"/>
      <c r="AE160" s="5" t="n"/>
      <c r="AF160" s="6" t="n"/>
      <c r="AG160" s="6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7">
        <f>IF(AQ160="","",AQ160)</f>
        <v/>
      </c>
      <c r="AT160" s="7">
        <f>IF(OR(AQ160="",AI160=""),"",AQ160-AI160)</f>
        <v/>
      </c>
      <c r="AU160" s="8">
        <f>IF(OR(AT160="",AQ160=""),"",AT160/AQ160)</f>
        <v/>
      </c>
      <c r="AV160" s="5" t="n"/>
      <c r="AW160" s="5" t="n"/>
      <c r="AX160" s="5" t="n"/>
      <c r="AY160" s="5" t="n"/>
      <c r="AZ160" s="5" t="n"/>
      <c r="BA160" s="6" t="n"/>
      <c r="BB160" s="5" t="n"/>
      <c r="BC160" s="6" t="n"/>
      <c r="BD160" s="6" t="n"/>
    </row>
    <row r="161">
      <c r="A161" s="5" t="n"/>
      <c r="B161" s="5" t="n"/>
      <c r="C161" s="5" t="n"/>
      <c r="D161" s="5" t="n"/>
      <c r="E161" s="5" t="n"/>
      <c r="F161" s="5" t="n"/>
      <c r="G161" s="6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7">
        <f>IF(OR($C161="",T161=""),"",T161-AVERAGEIF($C:$C,$C161,$T:$T))</f>
        <v/>
      </c>
      <c r="W161" s="7">
        <f>IF(OR($C161="",U161=""),"",U161-AVERAGEIF($C:$C,$C161,$U:$U))</f>
        <v/>
      </c>
      <c r="X161" s="5" t="n"/>
      <c r="Y161" s="5" t="n"/>
      <c r="Z161" s="6" t="n"/>
      <c r="AA161" s="5" t="n"/>
      <c r="AB161" s="5" t="n"/>
      <c r="AC161" s="5" t="n"/>
      <c r="AD161" s="5" t="n"/>
      <c r="AE161" s="5" t="n"/>
      <c r="AF161" s="6" t="n"/>
      <c r="AG161" s="6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7">
        <f>IF(AQ161="","",AQ161)</f>
        <v/>
      </c>
      <c r="AT161" s="7">
        <f>IF(OR(AQ161="",AI161=""),"",AQ161-AI161)</f>
        <v/>
      </c>
      <c r="AU161" s="8">
        <f>IF(OR(AT161="",AQ161=""),"",AT161/AQ161)</f>
        <v/>
      </c>
      <c r="AV161" s="5" t="n"/>
      <c r="AW161" s="5" t="n"/>
      <c r="AX161" s="5" t="n"/>
      <c r="AY161" s="5" t="n"/>
      <c r="AZ161" s="5" t="n"/>
      <c r="BA161" s="6" t="n"/>
      <c r="BB161" s="5" t="n"/>
      <c r="BC161" s="6" t="n"/>
      <c r="BD161" s="6" t="n"/>
    </row>
    <row r="162">
      <c r="A162" s="5" t="n"/>
      <c r="B162" s="5" t="n"/>
      <c r="C162" s="5" t="n"/>
      <c r="D162" s="5" t="n"/>
      <c r="E162" s="5" t="n"/>
      <c r="F162" s="5" t="n"/>
      <c r="G162" s="6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7">
        <f>IF(OR($C162="",T162=""),"",T162-AVERAGEIF($C:$C,$C162,$T:$T))</f>
        <v/>
      </c>
      <c r="W162" s="7">
        <f>IF(OR($C162="",U162=""),"",U162-AVERAGEIF($C:$C,$C162,$U:$U))</f>
        <v/>
      </c>
      <c r="X162" s="5" t="n"/>
      <c r="Y162" s="5" t="n"/>
      <c r="Z162" s="6" t="n"/>
      <c r="AA162" s="5" t="n"/>
      <c r="AB162" s="5" t="n"/>
      <c r="AC162" s="5" t="n"/>
      <c r="AD162" s="5" t="n"/>
      <c r="AE162" s="5" t="n"/>
      <c r="AF162" s="6" t="n"/>
      <c r="AG162" s="6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7">
        <f>IF(AQ162="","",AQ162)</f>
        <v/>
      </c>
      <c r="AT162" s="7">
        <f>IF(OR(AQ162="",AI162=""),"",AQ162-AI162)</f>
        <v/>
      </c>
      <c r="AU162" s="8">
        <f>IF(OR(AT162="",AQ162=""),"",AT162/AQ162)</f>
        <v/>
      </c>
      <c r="AV162" s="5" t="n"/>
      <c r="AW162" s="5" t="n"/>
      <c r="AX162" s="5" t="n"/>
      <c r="AY162" s="5" t="n"/>
      <c r="AZ162" s="5" t="n"/>
      <c r="BA162" s="6" t="n"/>
      <c r="BB162" s="5" t="n"/>
      <c r="BC162" s="6" t="n"/>
      <c r="BD162" s="6" t="n"/>
    </row>
    <row r="163">
      <c r="A163" s="5" t="n"/>
      <c r="B163" s="5" t="n"/>
      <c r="C163" s="5" t="n"/>
      <c r="D163" s="5" t="n"/>
      <c r="E163" s="5" t="n"/>
      <c r="F163" s="5" t="n"/>
      <c r="G163" s="6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7">
        <f>IF(OR($C163="",T163=""),"",T163-AVERAGEIF($C:$C,$C163,$T:$T))</f>
        <v/>
      </c>
      <c r="W163" s="7">
        <f>IF(OR($C163="",U163=""),"",U163-AVERAGEIF($C:$C,$C163,$U:$U))</f>
        <v/>
      </c>
      <c r="X163" s="5" t="n"/>
      <c r="Y163" s="5" t="n"/>
      <c r="Z163" s="6" t="n"/>
      <c r="AA163" s="5" t="n"/>
      <c r="AB163" s="5" t="n"/>
      <c r="AC163" s="5" t="n"/>
      <c r="AD163" s="5" t="n"/>
      <c r="AE163" s="5" t="n"/>
      <c r="AF163" s="6" t="n"/>
      <c r="AG163" s="6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7">
        <f>IF(AQ163="","",AQ163)</f>
        <v/>
      </c>
      <c r="AT163" s="7">
        <f>IF(OR(AQ163="",AI163=""),"",AQ163-AI163)</f>
        <v/>
      </c>
      <c r="AU163" s="8">
        <f>IF(OR(AT163="",AQ163=""),"",AT163/AQ163)</f>
        <v/>
      </c>
      <c r="AV163" s="5" t="n"/>
      <c r="AW163" s="5" t="n"/>
      <c r="AX163" s="5" t="n"/>
      <c r="AY163" s="5" t="n"/>
      <c r="AZ163" s="5" t="n"/>
      <c r="BA163" s="6" t="n"/>
      <c r="BB163" s="5" t="n"/>
      <c r="BC163" s="6" t="n"/>
      <c r="BD163" s="6" t="n"/>
    </row>
    <row r="164">
      <c r="A164" s="5" t="n"/>
      <c r="B164" s="5" t="n"/>
      <c r="C164" s="5" t="n"/>
      <c r="D164" s="5" t="n"/>
      <c r="E164" s="5" t="n"/>
      <c r="F164" s="5" t="n"/>
      <c r="G164" s="6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7">
        <f>IF(OR($C164="",T164=""),"",T164-AVERAGEIF($C:$C,$C164,$T:$T))</f>
        <v/>
      </c>
      <c r="W164" s="7">
        <f>IF(OR($C164="",U164=""),"",U164-AVERAGEIF($C:$C,$C164,$U:$U))</f>
        <v/>
      </c>
      <c r="X164" s="5" t="n"/>
      <c r="Y164" s="5" t="n"/>
      <c r="Z164" s="6" t="n"/>
      <c r="AA164" s="5" t="n"/>
      <c r="AB164" s="5" t="n"/>
      <c r="AC164" s="5" t="n"/>
      <c r="AD164" s="5" t="n"/>
      <c r="AE164" s="5" t="n"/>
      <c r="AF164" s="6" t="n"/>
      <c r="AG164" s="6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7">
        <f>IF(AQ164="","",AQ164)</f>
        <v/>
      </c>
      <c r="AT164" s="7">
        <f>IF(OR(AQ164="",AI164=""),"",AQ164-AI164)</f>
        <v/>
      </c>
      <c r="AU164" s="8">
        <f>IF(OR(AT164="",AQ164=""),"",AT164/AQ164)</f>
        <v/>
      </c>
      <c r="AV164" s="5" t="n"/>
      <c r="AW164" s="5" t="n"/>
      <c r="AX164" s="5" t="n"/>
      <c r="AY164" s="5" t="n"/>
      <c r="AZ164" s="5" t="n"/>
      <c r="BA164" s="6" t="n"/>
      <c r="BB164" s="5" t="n"/>
      <c r="BC164" s="6" t="n"/>
      <c r="BD164" s="6" t="n"/>
    </row>
    <row r="165">
      <c r="A165" s="5" t="n"/>
      <c r="B165" s="5" t="n"/>
      <c r="C165" s="5" t="n"/>
      <c r="D165" s="5" t="n"/>
      <c r="E165" s="5" t="n"/>
      <c r="F165" s="5" t="n"/>
      <c r="G165" s="6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7">
        <f>IF(OR($C165="",T165=""),"",T165-AVERAGEIF($C:$C,$C165,$T:$T))</f>
        <v/>
      </c>
      <c r="W165" s="7">
        <f>IF(OR($C165="",U165=""),"",U165-AVERAGEIF($C:$C,$C165,$U:$U))</f>
        <v/>
      </c>
      <c r="X165" s="5" t="n"/>
      <c r="Y165" s="5" t="n"/>
      <c r="Z165" s="6" t="n"/>
      <c r="AA165" s="5" t="n"/>
      <c r="AB165" s="5" t="n"/>
      <c r="AC165" s="5" t="n"/>
      <c r="AD165" s="5" t="n"/>
      <c r="AE165" s="5" t="n"/>
      <c r="AF165" s="6" t="n"/>
      <c r="AG165" s="6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7">
        <f>IF(AQ165="","",AQ165)</f>
        <v/>
      </c>
      <c r="AT165" s="7">
        <f>IF(OR(AQ165="",AI165=""),"",AQ165-AI165)</f>
        <v/>
      </c>
      <c r="AU165" s="8">
        <f>IF(OR(AT165="",AQ165=""),"",AT165/AQ165)</f>
        <v/>
      </c>
      <c r="AV165" s="5" t="n"/>
      <c r="AW165" s="5" t="n"/>
      <c r="AX165" s="5" t="n"/>
      <c r="AY165" s="5" t="n"/>
      <c r="AZ165" s="5" t="n"/>
      <c r="BA165" s="6" t="n"/>
      <c r="BB165" s="5" t="n"/>
      <c r="BC165" s="6" t="n"/>
      <c r="BD165" s="6" t="n"/>
    </row>
    <row r="166">
      <c r="A166" s="5" t="n"/>
      <c r="B166" s="5" t="n"/>
      <c r="C166" s="5" t="n"/>
      <c r="D166" s="5" t="n"/>
      <c r="E166" s="5" t="n"/>
      <c r="F166" s="5" t="n"/>
      <c r="G166" s="6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7">
        <f>IF(OR($C166="",T166=""),"",T166-AVERAGEIF($C:$C,$C166,$T:$T))</f>
        <v/>
      </c>
      <c r="W166" s="7">
        <f>IF(OR($C166="",U166=""),"",U166-AVERAGEIF($C:$C,$C166,$U:$U))</f>
        <v/>
      </c>
      <c r="X166" s="5" t="n"/>
      <c r="Y166" s="5" t="n"/>
      <c r="Z166" s="6" t="n"/>
      <c r="AA166" s="5" t="n"/>
      <c r="AB166" s="5" t="n"/>
      <c r="AC166" s="5" t="n"/>
      <c r="AD166" s="5" t="n"/>
      <c r="AE166" s="5" t="n"/>
      <c r="AF166" s="6" t="n"/>
      <c r="AG166" s="6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7">
        <f>IF(AQ166="","",AQ166)</f>
        <v/>
      </c>
      <c r="AT166" s="7">
        <f>IF(OR(AQ166="",AI166=""),"",AQ166-AI166)</f>
        <v/>
      </c>
      <c r="AU166" s="8">
        <f>IF(OR(AT166="",AQ166=""),"",AT166/AQ166)</f>
        <v/>
      </c>
      <c r="AV166" s="5" t="n"/>
      <c r="AW166" s="5" t="n"/>
      <c r="AX166" s="5" t="n"/>
      <c r="AY166" s="5" t="n"/>
      <c r="AZ166" s="5" t="n"/>
      <c r="BA166" s="6" t="n"/>
      <c r="BB166" s="5" t="n"/>
      <c r="BC166" s="6" t="n"/>
      <c r="BD166" s="6" t="n"/>
    </row>
    <row r="167">
      <c r="A167" s="5" t="n"/>
      <c r="B167" s="5" t="n"/>
      <c r="C167" s="5" t="n"/>
      <c r="D167" s="5" t="n"/>
      <c r="E167" s="5" t="n"/>
      <c r="F167" s="5" t="n"/>
      <c r="G167" s="6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7">
        <f>IF(OR($C167="",T167=""),"",T167-AVERAGEIF($C:$C,$C167,$T:$T))</f>
        <v/>
      </c>
      <c r="W167" s="7">
        <f>IF(OR($C167="",U167=""),"",U167-AVERAGEIF($C:$C,$C167,$U:$U))</f>
        <v/>
      </c>
      <c r="X167" s="5" t="n"/>
      <c r="Y167" s="5" t="n"/>
      <c r="Z167" s="6" t="n"/>
      <c r="AA167" s="5" t="n"/>
      <c r="AB167" s="5" t="n"/>
      <c r="AC167" s="5" t="n"/>
      <c r="AD167" s="5" t="n"/>
      <c r="AE167" s="5" t="n"/>
      <c r="AF167" s="6" t="n"/>
      <c r="AG167" s="6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7">
        <f>IF(AQ167="","",AQ167)</f>
        <v/>
      </c>
      <c r="AT167" s="7">
        <f>IF(OR(AQ167="",AI167=""),"",AQ167-AI167)</f>
        <v/>
      </c>
      <c r="AU167" s="8">
        <f>IF(OR(AT167="",AQ167=""),"",AT167/AQ167)</f>
        <v/>
      </c>
      <c r="AV167" s="5" t="n"/>
      <c r="AW167" s="5" t="n"/>
      <c r="AX167" s="5" t="n"/>
      <c r="AY167" s="5" t="n"/>
      <c r="AZ167" s="5" t="n"/>
      <c r="BA167" s="6" t="n"/>
      <c r="BB167" s="5" t="n"/>
      <c r="BC167" s="6" t="n"/>
      <c r="BD167" s="6" t="n"/>
    </row>
    <row r="168">
      <c r="A168" s="5" t="n"/>
      <c r="B168" s="5" t="n"/>
      <c r="C168" s="5" t="n"/>
      <c r="D168" s="5" t="n"/>
      <c r="E168" s="5" t="n"/>
      <c r="F168" s="5" t="n"/>
      <c r="G168" s="6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7">
        <f>IF(OR($C168="",T168=""),"",T168-AVERAGEIF($C:$C,$C168,$T:$T))</f>
        <v/>
      </c>
      <c r="W168" s="7">
        <f>IF(OR($C168="",U168=""),"",U168-AVERAGEIF($C:$C,$C168,$U:$U))</f>
        <v/>
      </c>
      <c r="X168" s="5" t="n"/>
      <c r="Y168" s="5" t="n"/>
      <c r="Z168" s="6" t="n"/>
      <c r="AA168" s="5" t="n"/>
      <c r="AB168" s="5" t="n"/>
      <c r="AC168" s="5" t="n"/>
      <c r="AD168" s="5" t="n"/>
      <c r="AE168" s="5" t="n"/>
      <c r="AF168" s="6" t="n"/>
      <c r="AG168" s="6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7">
        <f>IF(AQ168="","",AQ168)</f>
        <v/>
      </c>
      <c r="AT168" s="7">
        <f>IF(OR(AQ168="",AI168=""),"",AQ168-AI168)</f>
        <v/>
      </c>
      <c r="AU168" s="8">
        <f>IF(OR(AT168="",AQ168=""),"",AT168/AQ168)</f>
        <v/>
      </c>
      <c r="AV168" s="5" t="n"/>
      <c r="AW168" s="5" t="n"/>
      <c r="AX168" s="5" t="n"/>
      <c r="AY168" s="5" t="n"/>
      <c r="AZ168" s="5" t="n"/>
      <c r="BA168" s="6" t="n"/>
      <c r="BB168" s="5" t="n"/>
      <c r="BC168" s="6" t="n"/>
      <c r="BD168" s="6" t="n"/>
    </row>
    <row r="169">
      <c r="A169" s="5" t="n"/>
      <c r="B169" s="5" t="n"/>
      <c r="C169" s="5" t="n"/>
      <c r="D169" s="5" t="n"/>
      <c r="E169" s="5" t="n"/>
      <c r="F169" s="5" t="n"/>
      <c r="G169" s="6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7">
        <f>IF(OR($C169="",T169=""),"",T169-AVERAGEIF($C:$C,$C169,$T:$T))</f>
        <v/>
      </c>
      <c r="W169" s="7">
        <f>IF(OR($C169="",U169=""),"",U169-AVERAGEIF($C:$C,$C169,$U:$U))</f>
        <v/>
      </c>
      <c r="X169" s="5" t="n"/>
      <c r="Y169" s="5" t="n"/>
      <c r="Z169" s="6" t="n"/>
      <c r="AA169" s="5" t="n"/>
      <c r="AB169" s="5" t="n"/>
      <c r="AC169" s="5" t="n"/>
      <c r="AD169" s="5" t="n"/>
      <c r="AE169" s="5" t="n"/>
      <c r="AF169" s="6" t="n"/>
      <c r="AG169" s="6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7">
        <f>IF(AQ169="","",AQ169)</f>
        <v/>
      </c>
      <c r="AT169" s="7">
        <f>IF(OR(AQ169="",AI169=""),"",AQ169-AI169)</f>
        <v/>
      </c>
      <c r="AU169" s="8">
        <f>IF(OR(AT169="",AQ169=""),"",AT169/AQ169)</f>
        <v/>
      </c>
      <c r="AV169" s="5" t="n"/>
      <c r="AW169" s="5" t="n"/>
      <c r="AX169" s="5" t="n"/>
      <c r="AY169" s="5" t="n"/>
      <c r="AZ169" s="5" t="n"/>
      <c r="BA169" s="6" t="n"/>
      <c r="BB169" s="5" t="n"/>
      <c r="BC169" s="6" t="n"/>
      <c r="BD169" s="6" t="n"/>
    </row>
    <row r="170">
      <c r="A170" s="5" t="n"/>
      <c r="B170" s="5" t="n"/>
      <c r="C170" s="5" t="n"/>
      <c r="D170" s="5" t="n"/>
      <c r="E170" s="5" t="n"/>
      <c r="F170" s="5" t="n"/>
      <c r="G170" s="6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7">
        <f>IF(OR($C170="",T170=""),"",T170-AVERAGEIF($C:$C,$C170,$T:$T))</f>
        <v/>
      </c>
      <c r="W170" s="7">
        <f>IF(OR($C170="",U170=""),"",U170-AVERAGEIF($C:$C,$C170,$U:$U))</f>
        <v/>
      </c>
      <c r="X170" s="5" t="n"/>
      <c r="Y170" s="5" t="n"/>
      <c r="Z170" s="6" t="n"/>
      <c r="AA170" s="5" t="n"/>
      <c r="AB170" s="5" t="n"/>
      <c r="AC170" s="5" t="n"/>
      <c r="AD170" s="5" t="n"/>
      <c r="AE170" s="5" t="n"/>
      <c r="AF170" s="6" t="n"/>
      <c r="AG170" s="6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7">
        <f>IF(AQ170="","",AQ170)</f>
        <v/>
      </c>
      <c r="AT170" s="7">
        <f>IF(OR(AQ170="",AI170=""),"",AQ170-AI170)</f>
        <v/>
      </c>
      <c r="AU170" s="8">
        <f>IF(OR(AT170="",AQ170=""),"",AT170/AQ170)</f>
        <v/>
      </c>
      <c r="AV170" s="5" t="n"/>
      <c r="AW170" s="5" t="n"/>
      <c r="AX170" s="5" t="n"/>
      <c r="AY170" s="5" t="n"/>
      <c r="AZ170" s="5" t="n"/>
      <c r="BA170" s="6" t="n"/>
      <c r="BB170" s="5" t="n"/>
      <c r="BC170" s="6" t="n"/>
      <c r="BD170" s="6" t="n"/>
    </row>
    <row r="171">
      <c r="A171" s="5" t="n"/>
      <c r="B171" s="5" t="n"/>
      <c r="C171" s="5" t="n"/>
      <c r="D171" s="5" t="n"/>
      <c r="E171" s="5" t="n"/>
      <c r="F171" s="5" t="n"/>
      <c r="G171" s="6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7">
        <f>IF(OR($C171="",T171=""),"",T171-AVERAGEIF($C:$C,$C171,$T:$T))</f>
        <v/>
      </c>
      <c r="W171" s="7">
        <f>IF(OR($C171="",U171=""),"",U171-AVERAGEIF($C:$C,$C171,$U:$U))</f>
        <v/>
      </c>
      <c r="X171" s="5" t="n"/>
      <c r="Y171" s="5" t="n"/>
      <c r="Z171" s="6" t="n"/>
      <c r="AA171" s="5" t="n"/>
      <c r="AB171" s="5" t="n"/>
      <c r="AC171" s="5" t="n"/>
      <c r="AD171" s="5" t="n"/>
      <c r="AE171" s="5" t="n"/>
      <c r="AF171" s="6" t="n"/>
      <c r="AG171" s="6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7">
        <f>IF(AQ171="","",AQ171)</f>
        <v/>
      </c>
      <c r="AT171" s="7">
        <f>IF(OR(AQ171="",AI171=""),"",AQ171-AI171)</f>
        <v/>
      </c>
      <c r="AU171" s="8">
        <f>IF(OR(AT171="",AQ171=""),"",AT171/AQ171)</f>
        <v/>
      </c>
      <c r="AV171" s="5" t="n"/>
      <c r="AW171" s="5" t="n"/>
      <c r="AX171" s="5" t="n"/>
      <c r="AY171" s="5" t="n"/>
      <c r="AZ171" s="5" t="n"/>
      <c r="BA171" s="6" t="n"/>
      <c r="BB171" s="5" t="n"/>
      <c r="BC171" s="6" t="n"/>
      <c r="BD171" s="6" t="n"/>
    </row>
    <row r="172">
      <c r="A172" s="5" t="n"/>
      <c r="B172" s="5" t="n"/>
      <c r="C172" s="5" t="n"/>
      <c r="D172" s="5" t="n"/>
      <c r="E172" s="5" t="n"/>
      <c r="F172" s="5" t="n"/>
      <c r="G172" s="6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7">
        <f>IF(OR($C172="",T172=""),"",T172-AVERAGEIF($C:$C,$C172,$T:$T))</f>
        <v/>
      </c>
      <c r="W172" s="7">
        <f>IF(OR($C172="",U172=""),"",U172-AVERAGEIF($C:$C,$C172,$U:$U))</f>
        <v/>
      </c>
      <c r="X172" s="5" t="n"/>
      <c r="Y172" s="5" t="n"/>
      <c r="Z172" s="6" t="n"/>
      <c r="AA172" s="5" t="n"/>
      <c r="AB172" s="5" t="n"/>
      <c r="AC172" s="5" t="n"/>
      <c r="AD172" s="5" t="n"/>
      <c r="AE172" s="5" t="n"/>
      <c r="AF172" s="6" t="n"/>
      <c r="AG172" s="6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7">
        <f>IF(AQ172="","",AQ172)</f>
        <v/>
      </c>
      <c r="AT172" s="7">
        <f>IF(OR(AQ172="",AI172=""),"",AQ172-AI172)</f>
        <v/>
      </c>
      <c r="AU172" s="8">
        <f>IF(OR(AT172="",AQ172=""),"",AT172/AQ172)</f>
        <v/>
      </c>
      <c r="AV172" s="5" t="n"/>
      <c r="AW172" s="5" t="n"/>
      <c r="AX172" s="5" t="n"/>
      <c r="AY172" s="5" t="n"/>
      <c r="AZ172" s="5" t="n"/>
      <c r="BA172" s="6" t="n"/>
      <c r="BB172" s="5" t="n"/>
      <c r="BC172" s="6" t="n"/>
      <c r="BD172" s="6" t="n"/>
    </row>
    <row r="173">
      <c r="A173" s="5" t="n"/>
      <c r="B173" s="5" t="n"/>
      <c r="C173" s="5" t="n"/>
      <c r="D173" s="5" t="n"/>
      <c r="E173" s="5" t="n"/>
      <c r="F173" s="5" t="n"/>
      <c r="G173" s="6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7">
        <f>IF(OR($C173="",T173=""),"",T173-AVERAGEIF($C:$C,$C173,$T:$T))</f>
        <v/>
      </c>
      <c r="W173" s="7">
        <f>IF(OR($C173="",U173=""),"",U173-AVERAGEIF($C:$C,$C173,$U:$U))</f>
        <v/>
      </c>
      <c r="X173" s="5" t="n"/>
      <c r="Y173" s="5" t="n"/>
      <c r="Z173" s="6" t="n"/>
      <c r="AA173" s="5" t="n"/>
      <c r="AB173" s="5" t="n"/>
      <c r="AC173" s="5" t="n"/>
      <c r="AD173" s="5" t="n"/>
      <c r="AE173" s="5" t="n"/>
      <c r="AF173" s="6" t="n"/>
      <c r="AG173" s="6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7">
        <f>IF(AQ173="","",AQ173)</f>
        <v/>
      </c>
      <c r="AT173" s="7">
        <f>IF(OR(AQ173="",AI173=""),"",AQ173-AI173)</f>
        <v/>
      </c>
      <c r="AU173" s="8">
        <f>IF(OR(AT173="",AQ173=""),"",AT173/AQ173)</f>
        <v/>
      </c>
      <c r="AV173" s="5" t="n"/>
      <c r="AW173" s="5" t="n"/>
      <c r="AX173" s="5" t="n"/>
      <c r="AY173" s="5" t="n"/>
      <c r="AZ173" s="5" t="n"/>
      <c r="BA173" s="6" t="n"/>
      <c r="BB173" s="5" t="n"/>
      <c r="BC173" s="6" t="n"/>
      <c r="BD173" s="6" t="n"/>
    </row>
    <row r="174">
      <c r="A174" s="5" t="n"/>
      <c r="B174" s="5" t="n"/>
      <c r="C174" s="5" t="n"/>
      <c r="D174" s="5" t="n"/>
      <c r="E174" s="5" t="n"/>
      <c r="F174" s="5" t="n"/>
      <c r="G174" s="6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7">
        <f>IF(OR($C174="",T174=""),"",T174-AVERAGEIF($C:$C,$C174,$T:$T))</f>
        <v/>
      </c>
      <c r="W174" s="7">
        <f>IF(OR($C174="",U174=""),"",U174-AVERAGEIF($C:$C,$C174,$U:$U))</f>
        <v/>
      </c>
      <c r="X174" s="5" t="n"/>
      <c r="Y174" s="5" t="n"/>
      <c r="Z174" s="6" t="n"/>
      <c r="AA174" s="5" t="n"/>
      <c r="AB174" s="5" t="n"/>
      <c r="AC174" s="5" t="n"/>
      <c r="AD174" s="5" t="n"/>
      <c r="AE174" s="5" t="n"/>
      <c r="AF174" s="6" t="n"/>
      <c r="AG174" s="6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7">
        <f>IF(AQ174="","",AQ174)</f>
        <v/>
      </c>
      <c r="AT174" s="7">
        <f>IF(OR(AQ174="",AI174=""),"",AQ174-AI174)</f>
        <v/>
      </c>
      <c r="AU174" s="8">
        <f>IF(OR(AT174="",AQ174=""),"",AT174/AQ174)</f>
        <v/>
      </c>
      <c r="AV174" s="5" t="n"/>
      <c r="AW174" s="5" t="n"/>
      <c r="AX174" s="5" t="n"/>
      <c r="AY174" s="5" t="n"/>
      <c r="AZ174" s="5" t="n"/>
      <c r="BA174" s="6" t="n"/>
      <c r="BB174" s="5" t="n"/>
      <c r="BC174" s="6" t="n"/>
      <c r="BD174" s="6" t="n"/>
    </row>
    <row r="175">
      <c r="A175" s="5" t="n"/>
      <c r="B175" s="5" t="n"/>
      <c r="C175" s="5" t="n"/>
      <c r="D175" s="5" t="n"/>
      <c r="E175" s="5" t="n"/>
      <c r="F175" s="5" t="n"/>
      <c r="G175" s="6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7">
        <f>IF(OR($C175="",T175=""),"",T175-AVERAGEIF($C:$C,$C175,$T:$T))</f>
        <v/>
      </c>
      <c r="W175" s="7">
        <f>IF(OR($C175="",U175=""),"",U175-AVERAGEIF($C:$C,$C175,$U:$U))</f>
        <v/>
      </c>
      <c r="X175" s="5" t="n"/>
      <c r="Y175" s="5" t="n"/>
      <c r="Z175" s="6" t="n"/>
      <c r="AA175" s="5" t="n"/>
      <c r="AB175" s="5" t="n"/>
      <c r="AC175" s="5" t="n"/>
      <c r="AD175" s="5" t="n"/>
      <c r="AE175" s="5" t="n"/>
      <c r="AF175" s="6" t="n"/>
      <c r="AG175" s="6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7">
        <f>IF(AQ175="","",AQ175)</f>
        <v/>
      </c>
      <c r="AT175" s="7">
        <f>IF(OR(AQ175="",AI175=""),"",AQ175-AI175)</f>
        <v/>
      </c>
      <c r="AU175" s="8">
        <f>IF(OR(AT175="",AQ175=""),"",AT175/AQ175)</f>
        <v/>
      </c>
      <c r="AV175" s="5" t="n"/>
      <c r="AW175" s="5" t="n"/>
      <c r="AX175" s="5" t="n"/>
      <c r="AY175" s="5" t="n"/>
      <c r="AZ175" s="5" t="n"/>
      <c r="BA175" s="6" t="n"/>
      <c r="BB175" s="5" t="n"/>
      <c r="BC175" s="6" t="n"/>
      <c r="BD175" s="6" t="n"/>
    </row>
    <row r="176">
      <c r="A176" s="5" t="n"/>
      <c r="B176" s="5" t="n"/>
      <c r="C176" s="5" t="n"/>
      <c r="D176" s="5" t="n"/>
      <c r="E176" s="5" t="n"/>
      <c r="F176" s="5" t="n"/>
      <c r="G176" s="6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7">
        <f>IF(OR($C176="",T176=""),"",T176-AVERAGEIF($C:$C,$C176,$T:$T))</f>
        <v/>
      </c>
      <c r="W176" s="7">
        <f>IF(OR($C176="",U176=""),"",U176-AVERAGEIF($C:$C,$C176,$U:$U))</f>
        <v/>
      </c>
      <c r="X176" s="5" t="n"/>
      <c r="Y176" s="5" t="n"/>
      <c r="Z176" s="6" t="n"/>
      <c r="AA176" s="5" t="n"/>
      <c r="AB176" s="5" t="n"/>
      <c r="AC176" s="5" t="n"/>
      <c r="AD176" s="5" t="n"/>
      <c r="AE176" s="5" t="n"/>
      <c r="AF176" s="6" t="n"/>
      <c r="AG176" s="6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7">
        <f>IF(AQ176="","",AQ176)</f>
        <v/>
      </c>
      <c r="AT176" s="7">
        <f>IF(OR(AQ176="",AI176=""),"",AQ176-AI176)</f>
        <v/>
      </c>
      <c r="AU176" s="8">
        <f>IF(OR(AT176="",AQ176=""),"",AT176/AQ176)</f>
        <v/>
      </c>
      <c r="AV176" s="5" t="n"/>
      <c r="AW176" s="5" t="n"/>
      <c r="AX176" s="5" t="n"/>
      <c r="AY176" s="5" t="n"/>
      <c r="AZ176" s="5" t="n"/>
      <c r="BA176" s="6" t="n"/>
      <c r="BB176" s="5" t="n"/>
      <c r="BC176" s="6" t="n"/>
      <c r="BD176" s="6" t="n"/>
    </row>
    <row r="177">
      <c r="A177" s="5" t="n"/>
      <c r="B177" s="5" t="n"/>
      <c r="C177" s="5" t="n"/>
      <c r="D177" s="5" t="n"/>
      <c r="E177" s="5" t="n"/>
      <c r="F177" s="5" t="n"/>
      <c r="G177" s="6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7">
        <f>IF(OR($C177="",T177=""),"",T177-AVERAGEIF($C:$C,$C177,$T:$T))</f>
        <v/>
      </c>
      <c r="W177" s="7">
        <f>IF(OR($C177="",U177=""),"",U177-AVERAGEIF($C:$C,$C177,$U:$U))</f>
        <v/>
      </c>
      <c r="X177" s="5" t="n"/>
      <c r="Y177" s="5" t="n"/>
      <c r="Z177" s="6" t="n"/>
      <c r="AA177" s="5" t="n"/>
      <c r="AB177" s="5" t="n"/>
      <c r="AC177" s="5" t="n"/>
      <c r="AD177" s="5" t="n"/>
      <c r="AE177" s="5" t="n"/>
      <c r="AF177" s="6" t="n"/>
      <c r="AG177" s="6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7">
        <f>IF(AQ177="","",AQ177)</f>
        <v/>
      </c>
      <c r="AT177" s="7">
        <f>IF(OR(AQ177="",AI177=""),"",AQ177-AI177)</f>
        <v/>
      </c>
      <c r="AU177" s="8">
        <f>IF(OR(AT177="",AQ177=""),"",AT177/AQ177)</f>
        <v/>
      </c>
      <c r="AV177" s="5" t="n"/>
      <c r="AW177" s="5" t="n"/>
      <c r="AX177" s="5" t="n"/>
      <c r="AY177" s="5" t="n"/>
      <c r="AZ177" s="5" t="n"/>
      <c r="BA177" s="6" t="n"/>
      <c r="BB177" s="5" t="n"/>
      <c r="BC177" s="6" t="n"/>
      <c r="BD177" s="6" t="n"/>
    </row>
    <row r="178">
      <c r="A178" s="5" t="n"/>
      <c r="B178" s="5" t="n"/>
      <c r="C178" s="5" t="n"/>
      <c r="D178" s="5" t="n"/>
      <c r="E178" s="5" t="n"/>
      <c r="F178" s="5" t="n"/>
      <c r="G178" s="6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7">
        <f>IF(OR($C178="",T178=""),"",T178-AVERAGEIF($C:$C,$C178,$T:$T))</f>
        <v/>
      </c>
      <c r="W178" s="7">
        <f>IF(OR($C178="",U178=""),"",U178-AVERAGEIF($C:$C,$C178,$U:$U))</f>
        <v/>
      </c>
      <c r="X178" s="5" t="n"/>
      <c r="Y178" s="5" t="n"/>
      <c r="Z178" s="6" t="n"/>
      <c r="AA178" s="5" t="n"/>
      <c r="AB178" s="5" t="n"/>
      <c r="AC178" s="5" t="n"/>
      <c r="AD178" s="5" t="n"/>
      <c r="AE178" s="5" t="n"/>
      <c r="AF178" s="6" t="n"/>
      <c r="AG178" s="6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7">
        <f>IF(AQ178="","",AQ178)</f>
        <v/>
      </c>
      <c r="AT178" s="7">
        <f>IF(OR(AQ178="",AI178=""),"",AQ178-AI178)</f>
        <v/>
      </c>
      <c r="AU178" s="8">
        <f>IF(OR(AT178="",AQ178=""),"",AT178/AQ178)</f>
        <v/>
      </c>
      <c r="AV178" s="5" t="n"/>
      <c r="AW178" s="5" t="n"/>
      <c r="AX178" s="5" t="n"/>
      <c r="AY178" s="5" t="n"/>
      <c r="AZ178" s="5" t="n"/>
      <c r="BA178" s="6" t="n"/>
      <c r="BB178" s="5" t="n"/>
      <c r="BC178" s="6" t="n"/>
      <c r="BD178" s="6" t="n"/>
    </row>
    <row r="179">
      <c r="A179" s="5" t="n"/>
      <c r="B179" s="5" t="n"/>
      <c r="C179" s="5" t="n"/>
      <c r="D179" s="5" t="n"/>
      <c r="E179" s="5" t="n"/>
      <c r="F179" s="5" t="n"/>
      <c r="G179" s="6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7">
        <f>IF(OR($C179="",T179=""),"",T179-AVERAGEIF($C:$C,$C179,$T:$T))</f>
        <v/>
      </c>
      <c r="W179" s="7">
        <f>IF(OR($C179="",U179=""),"",U179-AVERAGEIF($C:$C,$C179,$U:$U))</f>
        <v/>
      </c>
      <c r="X179" s="5" t="n"/>
      <c r="Y179" s="5" t="n"/>
      <c r="Z179" s="6" t="n"/>
      <c r="AA179" s="5" t="n"/>
      <c r="AB179" s="5" t="n"/>
      <c r="AC179" s="5" t="n"/>
      <c r="AD179" s="5" t="n"/>
      <c r="AE179" s="5" t="n"/>
      <c r="AF179" s="6" t="n"/>
      <c r="AG179" s="6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7">
        <f>IF(AQ179="","",AQ179)</f>
        <v/>
      </c>
      <c r="AT179" s="7">
        <f>IF(OR(AQ179="",AI179=""),"",AQ179-AI179)</f>
        <v/>
      </c>
      <c r="AU179" s="8">
        <f>IF(OR(AT179="",AQ179=""),"",AT179/AQ179)</f>
        <v/>
      </c>
      <c r="AV179" s="5" t="n"/>
      <c r="AW179" s="5" t="n"/>
      <c r="AX179" s="5" t="n"/>
      <c r="AY179" s="5" t="n"/>
      <c r="AZ179" s="5" t="n"/>
      <c r="BA179" s="6" t="n"/>
      <c r="BB179" s="5" t="n"/>
      <c r="BC179" s="6" t="n"/>
      <c r="BD179" s="6" t="n"/>
    </row>
    <row r="180">
      <c r="A180" s="5" t="n"/>
      <c r="B180" s="5" t="n"/>
      <c r="C180" s="5" t="n"/>
      <c r="D180" s="5" t="n"/>
      <c r="E180" s="5" t="n"/>
      <c r="F180" s="5" t="n"/>
      <c r="G180" s="6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7">
        <f>IF(OR($C180="",T180=""),"",T180-AVERAGEIF($C:$C,$C180,$T:$T))</f>
        <v/>
      </c>
      <c r="W180" s="7">
        <f>IF(OR($C180="",U180=""),"",U180-AVERAGEIF($C:$C,$C180,$U:$U))</f>
        <v/>
      </c>
      <c r="X180" s="5" t="n"/>
      <c r="Y180" s="5" t="n"/>
      <c r="Z180" s="6" t="n"/>
      <c r="AA180" s="5" t="n"/>
      <c r="AB180" s="5" t="n"/>
      <c r="AC180" s="5" t="n"/>
      <c r="AD180" s="5" t="n"/>
      <c r="AE180" s="5" t="n"/>
      <c r="AF180" s="6" t="n"/>
      <c r="AG180" s="6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7">
        <f>IF(AQ180="","",AQ180)</f>
        <v/>
      </c>
      <c r="AT180" s="7">
        <f>IF(OR(AQ180="",AI180=""),"",AQ180-AI180)</f>
        <v/>
      </c>
      <c r="AU180" s="8">
        <f>IF(OR(AT180="",AQ180=""),"",AT180/AQ180)</f>
        <v/>
      </c>
      <c r="AV180" s="5" t="n"/>
      <c r="AW180" s="5" t="n"/>
      <c r="AX180" s="5" t="n"/>
      <c r="AY180" s="5" t="n"/>
      <c r="AZ180" s="5" t="n"/>
      <c r="BA180" s="6" t="n"/>
      <c r="BB180" s="5" t="n"/>
      <c r="BC180" s="6" t="n"/>
      <c r="BD180" s="6" t="n"/>
    </row>
    <row r="181">
      <c r="A181" s="5" t="n"/>
      <c r="B181" s="5" t="n"/>
      <c r="C181" s="5" t="n"/>
      <c r="D181" s="5" t="n"/>
      <c r="E181" s="5" t="n"/>
      <c r="F181" s="5" t="n"/>
      <c r="G181" s="6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7">
        <f>IF(OR($C181="",T181=""),"",T181-AVERAGEIF($C:$C,$C181,$T:$T))</f>
        <v/>
      </c>
      <c r="W181" s="7">
        <f>IF(OR($C181="",U181=""),"",U181-AVERAGEIF($C:$C,$C181,$U:$U))</f>
        <v/>
      </c>
      <c r="X181" s="5" t="n"/>
      <c r="Y181" s="5" t="n"/>
      <c r="Z181" s="6" t="n"/>
      <c r="AA181" s="5" t="n"/>
      <c r="AB181" s="5" t="n"/>
      <c r="AC181" s="5" t="n"/>
      <c r="AD181" s="5" t="n"/>
      <c r="AE181" s="5" t="n"/>
      <c r="AF181" s="6" t="n"/>
      <c r="AG181" s="6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7">
        <f>IF(AQ181="","",AQ181)</f>
        <v/>
      </c>
      <c r="AT181" s="7">
        <f>IF(OR(AQ181="",AI181=""),"",AQ181-AI181)</f>
        <v/>
      </c>
      <c r="AU181" s="8">
        <f>IF(OR(AT181="",AQ181=""),"",AT181/AQ181)</f>
        <v/>
      </c>
      <c r="AV181" s="5" t="n"/>
      <c r="AW181" s="5" t="n"/>
      <c r="AX181" s="5" t="n"/>
      <c r="AY181" s="5" t="n"/>
      <c r="AZ181" s="5" t="n"/>
      <c r="BA181" s="6" t="n"/>
      <c r="BB181" s="5" t="n"/>
      <c r="BC181" s="6" t="n"/>
      <c r="BD181" s="6" t="n"/>
    </row>
    <row r="182">
      <c r="A182" s="5" t="n"/>
      <c r="B182" s="5" t="n"/>
      <c r="C182" s="5" t="n"/>
      <c r="D182" s="5" t="n"/>
      <c r="E182" s="5" t="n"/>
      <c r="F182" s="5" t="n"/>
      <c r="G182" s="6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7">
        <f>IF(OR($C182="",T182=""),"",T182-AVERAGEIF($C:$C,$C182,$T:$T))</f>
        <v/>
      </c>
      <c r="W182" s="7">
        <f>IF(OR($C182="",U182=""),"",U182-AVERAGEIF($C:$C,$C182,$U:$U))</f>
        <v/>
      </c>
      <c r="X182" s="5" t="n"/>
      <c r="Y182" s="5" t="n"/>
      <c r="Z182" s="6" t="n"/>
      <c r="AA182" s="5" t="n"/>
      <c r="AB182" s="5" t="n"/>
      <c r="AC182" s="5" t="n"/>
      <c r="AD182" s="5" t="n"/>
      <c r="AE182" s="5" t="n"/>
      <c r="AF182" s="6" t="n"/>
      <c r="AG182" s="6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7">
        <f>IF(AQ182="","",AQ182)</f>
        <v/>
      </c>
      <c r="AT182" s="7">
        <f>IF(OR(AQ182="",AI182=""),"",AQ182-AI182)</f>
        <v/>
      </c>
      <c r="AU182" s="8">
        <f>IF(OR(AT182="",AQ182=""),"",AT182/AQ182)</f>
        <v/>
      </c>
      <c r="AV182" s="5" t="n"/>
      <c r="AW182" s="5" t="n"/>
      <c r="AX182" s="5" t="n"/>
      <c r="AY182" s="5" t="n"/>
      <c r="AZ182" s="5" t="n"/>
      <c r="BA182" s="6" t="n"/>
      <c r="BB182" s="5" t="n"/>
      <c r="BC182" s="6" t="n"/>
      <c r="BD182" s="6" t="n"/>
    </row>
    <row r="183">
      <c r="A183" s="5" t="n"/>
      <c r="B183" s="5" t="n"/>
      <c r="C183" s="5" t="n"/>
      <c r="D183" s="5" t="n"/>
      <c r="E183" s="5" t="n"/>
      <c r="F183" s="5" t="n"/>
      <c r="G183" s="6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7">
        <f>IF(OR($C183="",T183=""),"",T183-AVERAGEIF($C:$C,$C183,$T:$T))</f>
        <v/>
      </c>
      <c r="W183" s="7">
        <f>IF(OR($C183="",U183=""),"",U183-AVERAGEIF($C:$C,$C183,$U:$U))</f>
        <v/>
      </c>
      <c r="X183" s="5" t="n"/>
      <c r="Y183" s="5" t="n"/>
      <c r="Z183" s="6" t="n"/>
      <c r="AA183" s="5" t="n"/>
      <c r="AB183" s="5" t="n"/>
      <c r="AC183" s="5" t="n"/>
      <c r="AD183" s="5" t="n"/>
      <c r="AE183" s="5" t="n"/>
      <c r="AF183" s="6" t="n"/>
      <c r="AG183" s="6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7">
        <f>IF(AQ183="","",AQ183)</f>
        <v/>
      </c>
      <c r="AT183" s="7">
        <f>IF(OR(AQ183="",AI183=""),"",AQ183-AI183)</f>
        <v/>
      </c>
      <c r="AU183" s="8">
        <f>IF(OR(AT183="",AQ183=""),"",AT183/AQ183)</f>
        <v/>
      </c>
      <c r="AV183" s="5" t="n"/>
      <c r="AW183" s="5" t="n"/>
      <c r="AX183" s="5" t="n"/>
      <c r="AY183" s="5" t="n"/>
      <c r="AZ183" s="5" t="n"/>
      <c r="BA183" s="6" t="n"/>
      <c r="BB183" s="5" t="n"/>
      <c r="BC183" s="6" t="n"/>
      <c r="BD183" s="6" t="n"/>
    </row>
    <row r="184">
      <c r="A184" s="5" t="n"/>
      <c r="B184" s="5" t="n"/>
      <c r="C184" s="5" t="n"/>
      <c r="D184" s="5" t="n"/>
      <c r="E184" s="5" t="n"/>
      <c r="F184" s="5" t="n"/>
      <c r="G184" s="6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7">
        <f>IF(OR($C184="",T184=""),"",T184-AVERAGEIF($C:$C,$C184,$T:$T))</f>
        <v/>
      </c>
      <c r="W184" s="7">
        <f>IF(OR($C184="",U184=""),"",U184-AVERAGEIF($C:$C,$C184,$U:$U))</f>
        <v/>
      </c>
      <c r="X184" s="5" t="n"/>
      <c r="Y184" s="5" t="n"/>
      <c r="Z184" s="6" t="n"/>
      <c r="AA184" s="5" t="n"/>
      <c r="AB184" s="5" t="n"/>
      <c r="AC184" s="5" t="n"/>
      <c r="AD184" s="5" t="n"/>
      <c r="AE184" s="5" t="n"/>
      <c r="AF184" s="6" t="n"/>
      <c r="AG184" s="6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7">
        <f>IF(AQ184="","",AQ184)</f>
        <v/>
      </c>
      <c r="AT184" s="7">
        <f>IF(OR(AQ184="",AI184=""),"",AQ184-AI184)</f>
        <v/>
      </c>
      <c r="AU184" s="8">
        <f>IF(OR(AT184="",AQ184=""),"",AT184/AQ184)</f>
        <v/>
      </c>
      <c r="AV184" s="5" t="n"/>
      <c r="AW184" s="5" t="n"/>
      <c r="AX184" s="5" t="n"/>
      <c r="AY184" s="5" t="n"/>
      <c r="AZ184" s="5" t="n"/>
      <c r="BA184" s="6" t="n"/>
      <c r="BB184" s="5" t="n"/>
      <c r="BC184" s="6" t="n"/>
      <c r="BD184" s="6" t="n"/>
    </row>
    <row r="185">
      <c r="A185" s="5" t="n"/>
      <c r="B185" s="5" t="n"/>
      <c r="C185" s="5" t="n"/>
      <c r="D185" s="5" t="n"/>
      <c r="E185" s="5" t="n"/>
      <c r="F185" s="5" t="n"/>
      <c r="G185" s="6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7">
        <f>IF(OR($C185="",T185=""),"",T185-AVERAGEIF($C:$C,$C185,$T:$T))</f>
        <v/>
      </c>
      <c r="W185" s="7">
        <f>IF(OR($C185="",U185=""),"",U185-AVERAGEIF($C:$C,$C185,$U:$U))</f>
        <v/>
      </c>
      <c r="X185" s="5" t="n"/>
      <c r="Y185" s="5" t="n"/>
      <c r="Z185" s="6" t="n"/>
      <c r="AA185" s="5" t="n"/>
      <c r="AB185" s="5" t="n"/>
      <c r="AC185" s="5" t="n"/>
      <c r="AD185" s="5" t="n"/>
      <c r="AE185" s="5" t="n"/>
      <c r="AF185" s="6" t="n"/>
      <c r="AG185" s="6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7">
        <f>IF(AQ185="","",AQ185)</f>
        <v/>
      </c>
      <c r="AT185" s="7">
        <f>IF(OR(AQ185="",AI185=""),"",AQ185-AI185)</f>
        <v/>
      </c>
      <c r="AU185" s="8">
        <f>IF(OR(AT185="",AQ185=""),"",AT185/AQ185)</f>
        <v/>
      </c>
      <c r="AV185" s="5" t="n"/>
      <c r="AW185" s="5" t="n"/>
      <c r="AX185" s="5" t="n"/>
      <c r="AY185" s="5" t="n"/>
      <c r="AZ185" s="5" t="n"/>
      <c r="BA185" s="6" t="n"/>
      <c r="BB185" s="5" t="n"/>
      <c r="BC185" s="6" t="n"/>
      <c r="BD185" s="6" t="n"/>
    </row>
    <row r="186">
      <c r="A186" s="5" t="n"/>
      <c r="B186" s="5" t="n"/>
      <c r="C186" s="5" t="n"/>
      <c r="D186" s="5" t="n"/>
      <c r="E186" s="5" t="n"/>
      <c r="F186" s="5" t="n"/>
      <c r="G186" s="6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7">
        <f>IF(OR($C186="",T186=""),"",T186-AVERAGEIF($C:$C,$C186,$T:$T))</f>
        <v/>
      </c>
      <c r="W186" s="7">
        <f>IF(OR($C186="",U186=""),"",U186-AVERAGEIF($C:$C,$C186,$U:$U))</f>
        <v/>
      </c>
      <c r="X186" s="5" t="n"/>
      <c r="Y186" s="5" t="n"/>
      <c r="Z186" s="6" t="n"/>
      <c r="AA186" s="5" t="n"/>
      <c r="AB186" s="5" t="n"/>
      <c r="AC186" s="5" t="n"/>
      <c r="AD186" s="5" t="n"/>
      <c r="AE186" s="5" t="n"/>
      <c r="AF186" s="6" t="n"/>
      <c r="AG186" s="6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7">
        <f>IF(AQ186="","",AQ186)</f>
        <v/>
      </c>
      <c r="AT186" s="7">
        <f>IF(OR(AQ186="",AI186=""),"",AQ186-AI186)</f>
        <v/>
      </c>
      <c r="AU186" s="8">
        <f>IF(OR(AT186="",AQ186=""),"",AT186/AQ186)</f>
        <v/>
      </c>
      <c r="AV186" s="5" t="n"/>
      <c r="AW186" s="5" t="n"/>
      <c r="AX186" s="5" t="n"/>
      <c r="AY186" s="5" t="n"/>
      <c r="AZ186" s="5" t="n"/>
      <c r="BA186" s="6" t="n"/>
      <c r="BB186" s="5" t="n"/>
      <c r="BC186" s="6" t="n"/>
      <c r="BD186" s="6" t="n"/>
    </row>
    <row r="187">
      <c r="A187" s="5" t="n"/>
      <c r="B187" s="5" t="n"/>
      <c r="C187" s="5" t="n"/>
      <c r="D187" s="5" t="n"/>
      <c r="E187" s="5" t="n"/>
      <c r="F187" s="5" t="n"/>
      <c r="G187" s="6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7">
        <f>IF(OR($C187="",T187=""),"",T187-AVERAGEIF($C:$C,$C187,$T:$T))</f>
        <v/>
      </c>
      <c r="W187" s="7">
        <f>IF(OR($C187="",U187=""),"",U187-AVERAGEIF($C:$C,$C187,$U:$U))</f>
        <v/>
      </c>
      <c r="X187" s="5" t="n"/>
      <c r="Y187" s="5" t="n"/>
      <c r="Z187" s="6" t="n"/>
      <c r="AA187" s="5" t="n"/>
      <c r="AB187" s="5" t="n"/>
      <c r="AC187" s="5" t="n"/>
      <c r="AD187" s="5" t="n"/>
      <c r="AE187" s="5" t="n"/>
      <c r="AF187" s="6" t="n"/>
      <c r="AG187" s="6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7">
        <f>IF(AQ187="","",AQ187)</f>
        <v/>
      </c>
      <c r="AT187" s="7">
        <f>IF(OR(AQ187="",AI187=""),"",AQ187-AI187)</f>
        <v/>
      </c>
      <c r="AU187" s="8">
        <f>IF(OR(AT187="",AQ187=""),"",AT187/AQ187)</f>
        <v/>
      </c>
      <c r="AV187" s="5" t="n"/>
      <c r="AW187" s="5" t="n"/>
      <c r="AX187" s="5" t="n"/>
      <c r="AY187" s="5" t="n"/>
      <c r="AZ187" s="5" t="n"/>
      <c r="BA187" s="6" t="n"/>
      <c r="BB187" s="5" t="n"/>
      <c r="BC187" s="6" t="n"/>
      <c r="BD187" s="6" t="n"/>
    </row>
    <row r="188">
      <c r="A188" s="5" t="n"/>
      <c r="B188" s="5" t="n"/>
      <c r="C188" s="5" t="n"/>
      <c r="D188" s="5" t="n"/>
      <c r="E188" s="5" t="n"/>
      <c r="F188" s="5" t="n"/>
      <c r="G188" s="6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7">
        <f>IF(OR($C188="",T188=""),"",T188-AVERAGEIF($C:$C,$C188,$T:$T))</f>
        <v/>
      </c>
      <c r="W188" s="7">
        <f>IF(OR($C188="",U188=""),"",U188-AVERAGEIF($C:$C,$C188,$U:$U))</f>
        <v/>
      </c>
      <c r="X188" s="5" t="n"/>
      <c r="Y188" s="5" t="n"/>
      <c r="Z188" s="6" t="n"/>
      <c r="AA188" s="5" t="n"/>
      <c r="AB188" s="5" t="n"/>
      <c r="AC188" s="5" t="n"/>
      <c r="AD188" s="5" t="n"/>
      <c r="AE188" s="5" t="n"/>
      <c r="AF188" s="6" t="n"/>
      <c r="AG188" s="6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7">
        <f>IF(AQ188="","",AQ188)</f>
        <v/>
      </c>
      <c r="AT188" s="7">
        <f>IF(OR(AQ188="",AI188=""),"",AQ188-AI188)</f>
        <v/>
      </c>
      <c r="AU188" s="8">
        <f>IF(OR(AT188="",AQ188=""),"",AT188/AQ188)</f>
        <v/>
      </c>
      <c r="AV188" s="5" t="n"/>
      <c r="AW188" s="5" t="n"/>
      <c r="AX188" s="5" t="n"/>
      <c r="AY188" s="5" t="n"/>
      <c r="AZ188" s="5" t="n"/>
      <c r="BA188" s="6" t="n"/>
      <c r="BB188" s="5" t="n"/>
      <c r="BC188" s="6" t="n"/>
      <c r="BD188" s="6" t="n"/>
    </row>
    <row r="189">
      <c r="A189" s="5" t="n"/>
      <c r="B189" s="5" t="n"/>
      <c r="C189" s="5" t="n"/>
      <c r="D189" s="5" t="n"/>
      <c r="E189" s="5" t="n"/>
      <c r="F189" s="5" t="n"/>
      <c r="G189" s="6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7">
        <f>IF(OR($C189="",T189=""),"",T189-AVERAGEIF($C:$C,$C189,$T:$T))</f>
        <v/>
      </c>
      <c r="W189" s="7">
        <f>IF(OR($C189="",U189=""),"",U189-AVERAGEIF($C:$C,$C189,$U:$U))</f>
        <v/>
      </c>
      <c r="X189" s="5" t="n"/>
      <c r="Y189" s="5" t="n"/>
      <c r="Z189" s="6" t="n"/>
      <c r="AA189" s="5" t="n"/>
      <c r="AB189" s="5" t="n"/>
      <c r="AC189" s="5" t="n"/>
      <c r="AD189" s="5" t="n"/>
      <c r="AE189" s="5" t="n"/>
      <c r="AF189" s="6" t="n"/>
      <c r="AG189" s="6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7">
        <f>IF(AQ189="","",AQ189)</f>
        <v/>
      </c>
      <c r="AT189" s="7">
        <f>IF(OR(AQ189="",AI189=""),"",AQ189-AI189)</f>
        <v/>
      </c>
      <c r="AU189" s="8">
        <f>IF(OR(AT189="",AQ189=""),"",AT189/AQ189)</f>
        <v/>
      </c>
      <c r="AV189" s="5" t="n"/>
      <c r="AW189" s="5" t="n"/>
      <c r="AX189" s="5" t="n"/>
      <c r="AY189" s="5" t="n"/>
      <c r="AZ189" s="5" t="n"/>
      <c r="BA189" s="6" t="n"/>
      <c r="BB189" s="5" t="n"/>
      <c r="BC189" s="6" t="n"/>
      <c r="BD189" s="6" t="n"/>
    </row>
    <row r="190">
      <c r="A190" s="5" t="n"/>
      <c r="B190" s="5" t="n"/>
      <c r="C190" s="5" t="n"/>
      <c r="D190" s="5" t="n"/>
      <c r="E190" s="5" t="n"/>
      <c r="F190" s="5" t="n"/>
      <c r="G190" s="6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7">
        <f>IF(OR($C190="",T190=""),"",T190-AVERAGEIF($C:$C,$C190,$T:$T))</f>
        <v/>
      </c>
      <c r="W190" s="7">
        <f>IF(OR($C190="",U190=""),"",U190-AVERAGEIF($C:$C,$C190,$U:$U))</f>
        <v/>
      </c>
      <c r="X190" s="5" t="n"/>
      <c r="Y190" s="5" t="n"/>
      <c r="Z190" s="6" t="n"/>
      <c r="AA190" s="5" t="n"/>
      <c r="AB190" s="5" t="n"/>
      <c r="AC190" s="5" t="n"/>
      <c r="AD190" s="5" t="n"/>
      <c r="AE190" s="5" t="n"/>
      <c r="AF190" s="6" t="n"/>
      <c r="AG190" s="6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7">
        <f>IF(AQ190="","",AQ190)</f>
        <v/>
      </c>
      <c r="AT190" s="7">
        <f>IF(OR(AQ190="",AI190=""),"",AQ190-AI190)</f>
        <v/>
      </c>
      <c r="AU190" s="8">
        <f>IF(OR(AT190="",AQ190=""),"",AT190/AQ190)</f>
        <v/>
      </c>
      <c r="AV190" s="5" t="n"/>
      <c r="AW190" s="5" t="n"/>
      <c r="AX190" s="5" t="n"/>
      <c r="AY190" s="5" t="n"/>
      <c r="AZ190" s="5" t="n"/>
      <c r="BA190" s="6" t="n"/>
      <c r="BB190" s="5" t="n"/>
      <c r="BC190" s="6" t="n"/>
      <c r="BD190" s="6" t="n"/>
    </row>
    <row r="191">
      <c r="A191" s="5" t="n"/>
      <c r="B191" s="5" t="n"/>
      <c r="C191" s="5" t="n"/>
      <c r="D191" s="5" t="n"/>
      <c r="E191" s="5" t="n"/>
      <c r="F191" s="5" t="n"/>
      <c r="G191" s="6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7">
        <f>IF(OR($C191="",T191=""),"",T191-AVERAGEIF($C:$C,$C191,$T:$T))</f>
        <v/>
      </c>
      <c r="W191" s="7">
        <f>IF(OR($C191="",U191=""),"",U191-AVERAGEIF($C:$C,$C191,$U:$U))</f>
        <v/>
      </c>
      <c r="X191" s="5" t="n"/>
      <c r="Y191" s="5" t="n"/>
      <c r="Z191" s="6" t="n"/>
      <c r="AA191" s="5" t="n"/>
      <c r="AB191" s="5" t="n"/>
      <c r="AC191" s="5" t="n"/>
      <c r="AD191" s="5" t="n"/>
      <c r="AE191" s="5" t="n"/>
      <c r="AF191" s="6" t="n"/>
      <c r="AG191" s="6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7">
        <f>IF(AQ191="","",AQ191)</f>
        <v/>
      </c>
      <c r="AT191" s="7">
        <f>IF(OR(AQ191="",AI191=""),"",AQ191-AI191)</f>
        <v/>
      </c>
      <c r="AU191" s="8">
        <f>IF(OR(AT191="",AQ191=""),"",AT191/AQ191)</f>
        <v/>
      </c>
      <c r="AV191" s="5" t="n"/>
      <c r="AW191" s="5" t="n"/>
      <c r="AX191" s="5" t="n"/>
      <c r="AY191" s="5" t="n"/>
      <c r="AZ191" s="5" t="n"/>
      <c r="BA191" s="6" t="n"/>
      <c r="BB191" s="5" t="n"/>
      <c r="BC191" s="6" t="n"/>
      <c r="BD191" s="6" t="n"/>
    </row>
    <row r="192">
      <c r="A192" s="5" t="n"/>
      <c r="B192" s="5" t="n"/>
      <c r="C192" s="5" t="n"/>
      <c r="D192" s="5" t="n"/>
      <c r="E192" s="5" t="n"/>
      <c r="F192" s="5" t="n"/>
      <c r="G192" s="6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7">
        <f>IF(OR($C192="",T192=""),"",T192-AVERAGEIF($C:$C,$C192,$T:$T))</f>
        <v/>
      </c>
      <c r="W192" s="7">
        <f>IF(OR($C192="",U192=""),"",U192-AVERAGEIF($C:$C,$C192,$U:$U))</f>
        <v/>
      </c>
      <c r="X192" s="5" t="n"/>
      <c r="Y192" s="5" t="n"/>
      <c r="Z192" s="6" t="n"/>
      <c r="AA192" s="5" t="n"/>
      <c r="AB192" s="5" t="n"/>
      <c r="AC192" s="5" t="n"/>
      <c r="AD192" s="5" t="n"/>
      <c r="AE192" s="5" t="n"/>
      <c r="AF192" s="6" t="n"/>
      <c r="AG192" s="6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7">
        <f>IF(AQ192="","",AQ192)</f>
        <v/>
      </c>
      <c r="AT192" s="7">
        <f>IF(OR(AQ192="",AI192=""),"",AQ192-AI192)</f>
        <v/>
      </c>
      <c r="AU192" s="8">
        <f>IF(OR(AT192="",AQ192=""),"",AT192/AQ192)</f>
        <v/>
      </c>
      <c r="AV192" s="5" t="n"/>
      <c r="AW192" s="5" t="n"/>
      <c r="AX192" s="5" t="n"/>
      <c r="AY192" s="5" t="n"/>
      <c r="AZ192" s="5" t="n"/>
      <c r="BA192" s="6" t="n"/>
      <c r="BB192" s="5" t="n"/>
      <c r="BC192" s="6" t="n"/>
      <c r="BD192" s="6" t="n"/>
    </row>
    <row r="193">
      <c r="A193" s="5" t="n"/>
      <c r="B193" s="5" t="n"/>
      <c r="C193" s="5" t="n"/>
      <c r="D193" s="5" t="n"/>
      <c r="E193" s="5" t="n"/>
      <c r="F193" s="5" t="n"/>
      <c r="G193" s="6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7">
        <f>IF(OR($C193="",T193=""),"",T193-AVERAGEIF($C:$C,$C193,$T:$T))</f>
        <v/>
      </c>
      <c r="W193" s="7">
        <f>IF(OR($C193="",U193=""),"",U193-AVERAGEIF($C:$C,$C193,$U:$U))</f>
        <v/>
      </c>
      <c r="X193" s="5" t="n"/>
      <c r="Y193" s="5" t="n"/>
      <c r="Z193" s="6" t="n"/>
      <c r="AA193" s="5" t="n"/>
      <c r="AB193" s="5" t="n"/>
      <c r="AC193" s="5" t="n"/>
      <c r="AD193" s="5" t="n"/>
      <c r="AE193" s="5" t="n"/>
      <c r="AF193" s="6" t="n"/>
      <c r="AG193" s="6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7">
        <f>IF(AQ193="","",AQ193)</f>
        <v/>
      </c>
      <c r="AT193" s="7">
        <f>IF(OR(AQ193="",AI193=""),"",AQ193-AI193)</f>
        <v/>
      </c>
      <c r="AU193" s="8">
        <f>IF(OR(AT193="",AQ193=""),"",AT193/AQ193)</f>
        <v/>
      </c>
      <c r="AV193" s="5" t="n"/>
      <c r="AW193" s="5" t="n"/>
      <c r="AX193" s="5" t="n"/>
      <c r="AY193" s="5" t="n"/>
      <c r="AZ193" s="5" t="n"/>
      <c r="BA193" s="6" t="n"/>
      <c r="BB193" s="5" t="n"/>
      <c r="BC193" s="6" t="n"/>
      <c r="BD193" s="6" t="n"/>
    </row>
    <row r="194">
      <c r="A194" s="5" t="n"/>
      <c r="B194" s="5" t="n"/>
      <c r="C194" s="5" t="n"/>
      <c r="D194" s="5" t="n"/>
      <c r="E194" s="5" t="n"/>
      <c r="F194" s="5" t="n"/>
      <c r="G194" s="6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7">
        <f>IF(OR($C194="",T194=""),"",T194-AVERAGEIF($C:$C,$C194,$T:$T))</f>
        <v/>
      </c>
      <c r="W194" s="7">
        <f>IF(OR($C194="",U194=""),"",U194-AVERAGEIF($C:$C,$C194,$U:$U))</f>
        <v/>
      </c>
      <c r="X194" s="5" t="n"/>
      <c r="Y194" s="5" t="n"/>
      <c r="Z194" s="6" t="n"/>
      <c r="AA194" s="5" t="n"/>
      <c r="AB194" s="5" t="n"/>
      <c r="AC194" s="5" t="n"/>
      <c r="AD194" s="5" t="n"/>
      <c r="AE194" s="5" t="n"/>
      <c r="AF194" s="6" t="n"/>
      <c r="AG194" s="6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7">
        <f>IF(AQ194="","",AQ194)</f>
        <v/>
      </c>
      <c r="AT194" s="7">
        <f>IF(OR(AQ194="",AI194=""),"",AQ194-AI194)</f>
        <v/>
      </c>
      <c r="AU194" s="8">
        <f>IF(OR(AT194="",AQ194=""),"",AT194/AQ194)</f>
        <v/>
      </c>
      <c r="AV194" s="5" t="n"/>
      <c r="AW194" s="5" t="n"/>
      <c r="AX194" s="5" t="n"/>
      <c r="AY194" s="5" t="n"/>
      <c r="AZ194" s="5" t="n"/>
      <c r="BA194" s="6" t="n"/>
      <c r="BB194" s="5" t="n"/>
      <c r="BC194" s="6" t="n"/>
      <c r="BD194" s="6" t="n"/>
    </row>
    <row r="195">
      <c r="A195" s="5" t="n"/>
      <c r="B195" s="5" t="n"/>
      <c r="C195" s="5" t="n"/>
      <c r="D195" s="5" t="n"/>
      <c r="E195" s="5" t="n"/>
      <c r="F195" s="5" t="n"/>
      <c r="G195" s="6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7">
        <f>IF(OR($C195="",T195=""),"",T195-AVERAGEIF($C:$C,$C195,$T:$T))</f>
        <v/>
      </c>
      <c r="W195" s="7">
        <f>IF(OR($C195="",U195=""),"",U195-AVERAGEIF($C:$C,$C195,$U:$U))</f>
        <v/>
      </c>
      <c r="X195" s="5" t="n"/>
      <c r="Y195" s="5" t="n"/>
      <c r="Z195" s="6" t="n"/>
      <c r="AA195" s="5" t="n"/>
      <c r="AB195" s="5" t="n"/>
      <c r="AC195" s="5" t="n"/>
      <c r="AD195" s="5" t="n"/>
      <c r="AE195" s="5" t="n"/>
      <c r="AF195" s="6" t="n"/>
      <c r="AG195" s="6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7">
        <f>IF(AQ195="","",AQ195)</f>
        <v/>
      </c>
      <c r="AT195" s="7">
        <f>IF(OR(AQ195="",AI195=""),"",AQ195-AI195)</f>
        <v/>
      </c>
      <c r="AU195" s="8">
        <f>IF(OR(AT195="",AQ195=""),"",AT195/AQ195)</f>
        <v/>
      </c>
      <c r="AV195" s="5" t="n"/>
      <c r="AW195" s="5" t="n"/>
      <c r="AX195" s="5" t="n"/>
      <c r="AY195" s="5" t="n"/>
      <c r="AZ195" s="5" t="n"/>
      <c r="BA195" s="6" t="n"/>
      <c r="BB195" s="5" t="n"/>
      <c r="BC195" s="6" t="n"/>
      <c r="BD195" s="6" t="n"/>
    </row>
    <row r="196">
      <c r="A196" s="5" t="n"/>
      <c r="B196" s="5" t="n"/>
      <c r="C196" s="5" t="n"/>
      <c r="D196" s="5" t="n"/>
      <c r="E196" s="5" t="n"/>
      <c r="F196" s="5" t="n"/>
      <c r="G196" s="6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7">
        <f>IF(OR($C196="",T196=""),"",T196-AVERAGEIF($C:$C,$C196,$T:$T))</f>
        <v/>
      </c>
      <c r="W196" s="7">
        <f>IF(OR($C196="",U196=""),"",U196-AVERAGEIF($C:$C,$C196,$U:$U))</f>
        <v/>
      </c>
      <c r="X196" s="5" t="n"/>
      <c r="Y196" s="5" t="n"/>
      <c r="Z196" s="6" t="n"/>
      <c r="AA196" s="5" t="n"/>
      <c r="AB196" s="5" t="n"/>
      <c r="AC196" s="5" t="n"/>
      <c r="AD196" s="5" t="n"/>
      <c r="AE196" s="5" t="n"/>
      <c r="AF196" s="6" t="n"/>
      <c r="AG196" s="6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7">
        <f>IF(AQ196="","",AQ196)</f>
        <v/>
      </c>
      <c r="AT196" s="7">
        <f>IF(OR(AQ196="",AI196=""),"",AQ196-AI196)</f>
        <v/>
      </c>
      <c r="AU196" s="8">
        <f>IF(OR(AT196="",AQ196=""),"",AT196/AQ196)</f>
        <v/>
      </c>
      <c r="AV196" s="5" t="n"/>
      <c r="AW196" s="5" t="n"/>
      <c r="AX196" s="5" t="n"/>
      <c r="AY196" s="5" t="n"/>
      <c r="AZ196" s="5" t="n"/>
      <c r="BA196" s="6" t="n"/>
      <c r="BB196" s="5" t="n"/>
      <c r="BC196" s="6" t="n"/>
      <c r="BD196" s="6" t="n"/>
    </row>
    <row r="197">
      <c r="A197" s="5" t="n"/>
      <c r="B197" s="5" t="n"/>
      <c r="C197" s="5" t="n"/>
      <c r="D197" s="5" t="n"/>
      <c r="E197" s="5" t="n"/>
      <c r="F197" s="5" t="n"/>
      <c r="G197" s="6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7">
        <f>IF(OR($C197="",T197=""),"",T197-AVERAGEIF($C:$C,$C197,$T:$T))</f>
        <v/>
      </c>
      <c r="W197" s="7">
        <f>IF(OR($C197="",U197=""),"",U197-AVERAGEIF($C:$C,$C197,$U:$U))</f>
        <v/>
      </c>
      <c r="X197" s="5" t="n"/>
      <c r="Y197" s="5" t="n"/>
      <c r="Z197" s="6" t="n"/>
      <c r="AA197" s="5" t="n"/>
      <c r="AB197" s="5" t="n"/>
      <c r="AC197" s="5" t="n"/>
      <c r="AD197" s="5" t="n"/>
      <c r="AE197" s="5" t="n"/>
      <c r="AF197" s="6" t="n"/>
      <c r="AG197" s="6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7">
        <f>IF(AQ197="","",AQ197)</f>
        <v/>
      </c>
      <c r="AT197" s="7">
        <f>IF(OR(AQ197="",AI197=""),"",AQ197-AI197)</f>
        <v/>
      </c>
      <c r="AU197" s="8">
        <f>IF(OR(AT197="",AQ197=""),"",AT197/AQ197)</f>
        <v/>
      </c>
      <c r="AV197" s="5" t="n"/>
      <c r="AW197" s="5" t="n"/>
      <c r="AX197" s="5" t="n"/>
      <c r="AY197" s="5" t="n"/>
      <c r="AZ197" s="5" t="n"/>
      <c r="BA197" s="6" t="n"/>
      <c r="BB197" s="5" t="n"/>
      <c r="BC197" s="6" t="n"/>
      <c r="BD197" s="6" t="n"/>
    </row>
    <row r="198">
      <c r="A198" s="5" t="n"/>
      <c r="B198" s="5" t="n"/>
      <c r="C198" s="5" t="n"/>
      <c r="D198" s="5" t="n"/>
      <c r="E198" s="5" t="n"/>
      <c r="F198" s="5" t="n"/>
      <c r="G198" s="6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7">
        <f>IF(OR($C198="",T198=""),"",T198-AVERAGEIF($C:$C,$C198,$T:$T))</f>
        <v/>
      </c>
      <c r="W198" s="7">
        <f>IF(OR($C198="",U198=""),"",U198-AVERAGEIF($C:$C,$C198,$U:$U))</f>
        <v/>
      </c>
      <c r="X198" s="5" t="n"/>
      <c r="Y198" s="5" t="n"/>
      <c r="Z198" s="6" t="n"/>
      <c r="AA198" s="5" t="n"/>
      <c r="AB198" s="5" t="n"/>
      <c r="AC198" s="5" t="n"/>
      <c r="AD198" s="5" t="n"/>
      <c r="AE198" s="5" t="n"/>
      <c r="AF198" s="6" t="n"/>
      <c r="AG198" s="6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7">
        <f>IF(AQ198="","",AQ198)</f>
        <v/>
      </c>
      <c r="AT198" s="7">
        <f>IF(OR(AQ198="",AI198=""),"",AQ198-AI198)</f>
        <v/>
      </c>
      <c r="AU198" s="8">
        <f>IF(OR(AT198="",AQ198=""),"",AT198/AQ198)</f>
        <v/>
      </c>
      <c r="AV198" s="5" t="n"/>
      <c r="AW198" s="5" t="n"/>
      <c r="AX198" s="5" t="n"/>
      <c r="AY198" s="5" t="n"/>
      <c r="AZ198" s="5" t="n"/>
      <c r="BA198" s="6" t="n"/>
      <c r="BB198" s="5" t="n"/>
      <c r="BC198" s="6" t="n"/>
      <c r="BD198" s="6" t="n"/>
    </row>
    <row r="199">
      <c r="A199" s="5" t="n"/>
      <c r="B199" s="5" t="n"/>
      <c r="C199" s="5" t="n"/>
      <c r="D199" s="5" t="n"/>
      <c r="E199" s="5" t="n"/>
      <c r="F199" s="5" t="n"/>
      <c r="G199" s="6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7">
        <f>IF(OR($C199="",T199=""),"",T199-AVERAGEIF($C:$C,$C199,$T:$T))</f>
        <v/>
      </c>
      <c r="W199" s="7">
        <f>IF(OR($C199="",U199=""),"",U199-AVERAGEIF($C:$C,$C199,$U:$U))</f>
        <v/>
      </c>
      <c r="X199" s="5" t="n"/>
      <c r="Y199" s="5" t="n"/>
      <c r="Z199" s="6" t="n"/>
      <c r="AA199" s="5" t="n"/>
      <c r="AB199" s="5" t="n"/>
      <c r="AC199" s="5" t="n"/>
      <c r="AD199" s="5" t="n"/>
      <c r="AE199" s="5" t="n"/>
      <c r="AF199" s="6" t="n"/>
      <c r="AG199" s="6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7">
        <f>IF(AQ199="","",AQ199)</f>
        <v/>
      </c>
      <c r="AT199" s="7">
        <f>IF(OR(AQ199="",AI199=""),"",AQ199-AI199)</f>
        <v/>
      </c>
      <c r="AU199" s="8">
        <f>IF(OR(AT199="",AQ199=""),"",AT199/AQ199)</f>
        <v/>
      </c>
      <c r="AV199" s="5" t="n"/>
      <c r="AW199" s="5" t="n"/>
      <c r="AX199" s="5" t="n"/>
      <c r="AY199" s="5" t="n"/>
      <c r="AZ199" s="5" t="n"/>
      <c r="BA199" s="6" t="n"/>
      <c r="BB199" s="5" t="n"/>
      <c r="BC199" s="6" t="n"/>
      <c r="BD199" s="6" t="n"/>
    </row>
    <row r="200">
      <c r="A200" s="5" t="n"/>
      <c r="B200" s="5" t="n"/>
      <c r="C200" s="5" t="n"/>
      <c r="D200" s="5" t="n"/>
      <c r="E200" s="5" t="n"/>
      <c r="F200" s="5" t="n"/>
      <c r="G200" s="6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7">
        <f>IF(OR($C200="",T200=""),"",T200-AVERAGEIF($C:$C,$C200,$T:$T))</f>
        <v/>
      </c>
      <c r="W200" s="7">
        <f>IF(OR($C200="",U200=""),"",U200-AVERAGEIF($C:$C,$C200,$U:$U))</f>
        <v/>
      </c>
      <c r="X200" s="5" t="n"/>
      <c r="Y200" s="5" t="n"/>
      <c r="Z200" s="6" t="n"/>
      <c r="AA200" s="5" t="n"/>
      <c r="AB200" s="5" t="n"/>
      <c r="AC200" s="5" t="n"/>
      <c r="AD200" s="5" t="n"/>
      <c r="AE200" s="5" t="n"/>
      <c r="AF200" s="6" t="n"/>
      <c r="AG200" s="6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7">
        <f>IF(AQ200="","",AQ200)</f>
        <v/>
      </c>
      <c r="AT200" s="7">
        <f>IF(OR(AQ200="",AI200=""),"",AQ200-AI200)</f>
        <v/>
      </c>
      <c r="AU200" s="8">
        <f>IF(OR(AT200="",AQ200=""),"",AT200/AQ200)</f>
        <v/>
      </c>
      <c r="AV200" s="5" t="n"/>
      <c r="AW200" s="5" t="n"/>
      <c r="AX200" s="5" t="n"/>
      <c r="AY200" s="5" t="n"/>
      <c r="AZ200" s="5" t="n"/>
      <c r="BA200" s="6" t="n"/>
      <c r="BB200" s="5" t="n"/>
      <c r="BC200" s="6" t="n"/>
      <c r="BD200" s="6" t="n"/>
    </row>
    <row r="201">
      <c r="A201" s="5" t="n"/>
      <c r="B201" s="5" t="n"/>
      <c r="C201" s="5" t="n"/>
      <c r="D201" s="5" t="n"/>
      <c r="E201" s="5" t="n"/>
      <c r="F201" s="5" t="n"/>
      <c r="G201" s="6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7">
        <f>IF(OR($C201="",T201=""),"",T201-AVERAGEIF($C:$C,$C201,$T:$T))</f>
        <v/>
      </c>
      <c r="W201" s="7">
        <f>IF(OR($C201="",U201=""),"",U201-AVERAGEIF($C:$C,$C201,$U:$U))</f>
        <v/>
      </c>
      <c r="X201" s="5" t="n"/>
      <c r="Y201" s="5" t="n"/>
      <c r="Z201" s="6" t="n"/>
      <c r="AA201" s="5" t="n"/>
      <c r="AB201" s="5" t="n"/>
      <c r="AC201" s="5" t="n"/>
      <c r="AD201" s="5" t="n"/>
      <c r="AE201" s="5" t="n"/>
      <c r="AF201" s="6" t="n"/>
      <c r="AG201" s="6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7">
        <f>IF(AQ201="","",AQ201)</f>
        <v/>
      </c>
      <c r="AT201" s="7">
        <f>IF(OR(AQ201="",AI201=""),"",AQ201-AI201)</f>
        <v/>
      </c>
      <c r="AU201" s="8">
        <f>IF(OR(AT201="",AQ201=""),"",AT201/AQ201)</f>
        <v/>
      </c>
      <c r="AV201" s="5" t="n"/>
      <c r="AW201" s="5" t="n"/>
      <c r="AX201" s="5" t="n"/>
      <c r="AY201" s="5" t="n"/>
      <c r="AZ201" s="5" t="n"/>
      <c r="BA201" s="6" t="n"/>
      <c r="BB201" s="5" t="n"/>
      <c r="BC201" s="6" t="n"/>
      <c r="BD201" s="6" t="n"/>
    </row>
  </sheetData>
  <autoFilter ref="A1:BD201"/>
  <dataValidations count="8">
    <dataValidation sqref="Y2:Y201" showErrorMessage="1" showInputMessage="1" allowBlank="1" type="list">
      <formula1>"是,否"</formula1>
    </dataValidation>
    <dataValidation sqref="AO2:AO201" showErrorMessage="1" showInputMessage="1" allowBlank="1" type="list">
      <formula1>"是,否"</formula1>
    </dataValidation>
    <dataValidation sqref="AE2:AE201" showErrorMessage="1" showInputMessage="1" allowBlank="1" type="list">
      <formula1>"宽,中,窄"</formula1>
    </dataValidation>
    <dataValidation sqref="AK2:AK201" showErrorMessage="1" showInputMessage="1" allowBlank="1" type="list">
      <formula1>"无,轻,重"</formula1>
    </dataValidation>
    <dataValidation sqref="AL2:AL201" showErrorMessage="1" showInputMessage="1" allowBlank="1" type="list">
      <formula1>"无,轻,重"</formula1>
    </dataValidation>
    <dataValidation sqref="AM2:AM201" showErrorMessage="1" showInputMessage="1" allowBlank="1" type="list">
      <formula1>"弱,中,强"</formula1>
    </dataValidation>
    <dataValidation sqref="AN2:AN201" showErrorMessage="1" showInputMessage="1" allowBlank="1" type="list">
      <formula1>"渐进,正常,暴冲"</formula1>
    </dataValidation>
    <dataValidation sqref="BB2:BB201" showErrorMessage="1" showInputMessage="1" allowBlank="1" type="list">
      <formula1>"工作载量,备用载量,待观察,排除候选"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6" customWidth="1" min="16" max="16"/>
    <col width="10" customWidth="1" min="17" max="17"/>
    <col width="16" customWidth="1" min="18" max="18"/>
    <col width="16" customWidth="1" min="19" max="19"/>
    <col width="32" customWidth="1" min="20" max="20"/>
  </cols>
  <sheetData>
    <row r="1">
      <c r="A1" s="9" t="inlineStr">
        <is>
          <t>实验块编号(手填)</t>
        </is>
      </c>
      <c r="B1" s="9" t="inlineStr">
        <is>
          <t>候选载量(g)</t>
        </is>
      </c>
      <c r="C1" s="9" t="inlineStr">
        <is>
          <t>豆名</t>
        </is>
      </c>
      <c r="D1" s="9" t="inlineStr">
        <is>
          <t>炉数</t>
        </is>
      </c>
      <c r="E1" s="9" t="inlineStr">
        <is>
          <t>回温时间均值(秒)</t>
        </is>
      </c>
      <c r="F1" s="9" t="inlineStr">
        <is>
          <t>回温时间范围(秒)</t>
        </is>
      </c>
      <c r="G1" s="9" t="inlineStr">
        <is>
          <t>回温温度均值(℃)</t>
        </is>
      </c>
      <c r="H1" s="9" t="inlineStr">
        <is>
          <t>回温温度范围(℃)</t>
        </is>
      </c>
      <c r="I1" s="9" t="inlineStr">
        <is>
          <t>回温后补救次数</t>
        </is>
      </c>
      <c r="J1" s="9" t="inlineStr">
        <is>
          <t>转黄前后空间均分</t>
        </is>
      </c>
      <c r="K1" s="9" t="inlineStr">
        <is>
          <t>一爆前暴冲次数</t>
        </is>
      </c>
      <c r="L1" s="9" t="inlineStr">
        <is>
          <t>一爆前过激风险均分(反向)</t>
        </is>
      </c>
      <c r="M1" s="9" t="inlineStr">
        <is>
          <t>回温可控性均分</t>
        </is>
      </c>
      <c r="N1" s="9" t="inlineStr">
        <is>
          <t>杯中清晰度均分</t>
        </is>
      </c>
      <c r="O1" s="9" t="inlineStr">
        <is>
          <t>杯中熟度感均分</t>
        </is>
      </c>
      <c r="P1" s="9" t="inlineStr">
        <is>
          <t>连续5炉复现性(手填1-5)</t>
        </is>
      </c>
      <c r="Q1" s="9" t="inlineStr">
        <is>
          <t>综合总分</t>
        </is>
      </c>
      <c r="R1" s="9" t="inlineStr">
        <is>
          <t>定位(手填)</t>
        </is>
      </c>
      <c r="S1" s="9" t="inlineStr">
        <is>
          <t>下一步(手填)</t>
        </is>
      </c>
      <c r="T1" s="9" t="inlineStr">
        <is>
          <t>块结论一句话(手填)</t>
        </is>
      </c>
    </row>
    <row r="2">
      <c r="A2" s="5" t="n"/>
      <c r="B2" s="7">
        <f>IF($A2="","",IFERROR(INDEX(单炉记录!$H:$H,MATCH($A2,单炉记录!$C:$C,0)),""))</f>
        <v/>
      </c>
      <c r="C2" s="7">
        <f>IF($A2="","",IFERROR(INDEX(单炉记录!$E:$E,MATCH($A2,单炉记录!$C:$C,0)),""))</f>
        <v/>
      </c>
      <c r="D2" s="7">
        <f>IF($A2="","",COUNTIF(单炉记录!$C:$C,$A2))</f>
        <v/>
      </c>
      <c r="E2" s="7">
        <f>IF($A2="","",IFERROR(ROUND(AVERAGEIF(单炉记录!$C:$C,$A2,单炉记录!$T:$T),1),""))</f>
        <v/>
      </c>
      <c r="F2" s="7">
        <f>IF($A2="","",IFERROR(MAXIFS(单炉记录!$T:$T,单炉记录!$C:$C,$A2)-MINIFS(单炉记录!$T:$T,单炉记录!$C:$C,$A2),""))</f>
        <v/>
      </c>
      <c r="G2" s="7">
        <f>IF($A2="","",IFERROR(ROUND(AVERAGEIF(单炉记录!$C:$C,$A2,单炉记录!$U:$U),1),""))</f>
        <v/>
      </c>
      <c r="H2" s="7">
        <f>IF($A2="","",IFERROR(MAXIFS(单炉记录!$U:$U,单炉记录!$C:$C,$A2)-MINIFS(单炉记录!$U:$U,单炉记录!$C:$C,$A2),""))</f>
        <v/>
      </c>
      <c r="I2" s="7">
        <f>IF($A2="","",COUNTIFS(单炉记录!$C:$C,$A2,单炉记录!$Y:$Y,"是"))</f>
        <v/>
      </c>
      <c r="J2" s="7">
        <f>IF($A2="","",IFERROR(ROUND(AVERAGEIF(单炉记录!$C:$C,$A2,单炉记录!$AH:$AH),2),""))</f>
        <v/>
      </c>
      <c r="K2" s="7">
        <f>IF($A2="","",COUNTIFS(单炉记录!$C:$C,$A2,单炉记录!$AN:$AN,"暴冲"))</f>
        <v/>
      </c>
      <c r="L2" s="7">
        <f>IF($A2="","",IFERROR(ROUND(AVERAGEIF(单炉记录!$C:$C,$A2,单炉记录!$AP:$AP),2),""))</f>
        <v/>
      </c>
      <c r="M2" s="7">
        <f>IF($A2="","",IFERROR(ROUND(AVERAGEIF(单炉记录!$C:$C,$A2,单炉记录!$BA:$BA),2),""))</f>
        <v/>
      </c>
      <c r="N2" s="7">
        <f>IF($A2="","",IFERROR(ROUND(AVERAGEIF(单炉记录!$C:$C,$A2,单炉记录!$AX:$AX),2),""))</f>
        <v/>
      </c>
      <c r="O2" s="7">
        <f>IF($A2="","",IFERROR(ROUND(AVERAGEIF(单炉记录!$C:$C,$A2,单炉记录!$AY:$AY),2),""))</f>
        <v/>
      </c>
      <c r="P2" s="5" t="n"/>
      <c r="Q2" s="7">
        <f>IF($A2="","",ROUND(AVERAGE(J2,L2,M2,AVERAGE(N2,O2),P2),2))</f>
        <v/>
      </c>
      <c r="R2" s="5" t="n"/>
      <c r="S2" s="5" t="n"/>
      <c r="T2" s="6" t="n"/>
    </row>
    <row r="3">
      <c r="A3" s="5" t="n"/>
      <c r="B3" s="7">
        <f>IF($A3="","",IFERROR(INDEX(单炉记录!$H:$H,MATCH($A3,单炉记录!$C:$C,0)),""))</f>
        <v/>
      </c>
      <c r="C3" s="7">
        <f>IF($A3="","",IFERROR(INDEX(单炉记录!$E:$E,MATCH($A3,单炉记录!$C:$C,0)),""))</f>
        <v/>
      </c>
      <c r="D3" s="7">
        <f>IF($A3="","",COUNTIF(单炉记录!$C:$C,$A3))</f>
        <v/>
      </c>
      <c r="E3" s="7">
        <f>IF($A3="","",IFERROR(ROUND(AVERAGEIF(单炉记录!$C:$C,$A3,单炉记录!$T:$T),1),""))</f>
        <v/>
      </c>
      <c r="F3" s="7">
        <f>IF($A3="","",IFERROR(MAXIFS(单炉记录!$T:$T,单炉记录!$C:$C,$A3)-MINIFS(单炉记录!$T:$T,单炉记录!$C:$C,$A3),""))</f>
        <v/>
      </c>
      <c r="G3" s="7">
        <f>IF($A3="","",IFERROR(ROUND(AVERAGEIF(单炉记录!$C:$C,$A3,单炉记录!$U:$U),1),""))</f>
        <v/>
      </c>
      <c r="H3" s="7">
        <f>IF($A3="","",IFERROR(MAXIFS(单炉记录!$U:$U,单炉记录!$C:$C,$A3)-MINIFS(单炉记录!$U:$U,单炉记录!$C:$C,$A3),""))</f>
        <v/>
      </c>
      <c r="I3" s="7">
        <f>IF($A3="","",COUNTIFS(单炉记录!$C:$C,$A3,单炉记录!$Y:$Y,"是"))</f>
        <v/>
      </c>
      <c r="J3" s="7">
        <f>IF($A3="","",IFERROR(ROUND(AVERAGEIF(单炉记录!$C:$C,$A3,单炉记录!$AH:$AH),2),""))</f>
        <v/>
      </c>
      <c r="K3" s="7">
        <f>IF($A3="","",COUNTIFS(单炉记录!$C:$C,$A3,单炉记录!$AN:$AN,"暴冲"))</f>
        <v/>
      </c>
      <c r="L3" s="7">
        <f>IF($A3="","",IFERROR(ROUND(AVERAGEIF(单炉记录!$C:$C,$A3,单炉记录!$AP:$AP),2),""))</f>
        <v/>
      </c>
      <c r="M3" s="7">
        <f>IF($A3="","",IFERROR(ROUND(AVERAGEIF(单炉记录!$C:$C,$A3,单炉记录!$BA:$BA),2),""))</f>
        <v/>
      </c>
      <c r="N3" s="7">
        <f>IF($A3="","",IFERROR(ROUND(AVERAGEIF(单炉记录!$C:$C,$A3,单炉记录!$AX:$AX),2),""))</f>
        <v/>
      </c>
      <c r="O3" s="7">
        <f>IF($A3="","",IFERROR(ROUND(AVERAGEIF(单炉记录!$C:$C,$A3,单炉记录!$AY:$AY),2),""))</f>
        <v/>
      </c>
      <c r="P3" s="5" t="n"/>
      <c r="Q3" s="7">
        <f>IF($A3="","",ROUND(AVERAGE(J3,L3,M3,AVERAGE(N3,O3),P3),2))</f>
        <v/>
      </c>
      <c r="R3" s="5" t="n"/>
      <c r="S3" s="5" t="n"/>
      <c r="T3" s="6" t="n"/>
    </row>
    <row r="4">
      <c r="A4" s="5" t="n"/>
      <c r="B4" s="7">
        <f>IF($A4="","",IFERROR(INDEX(单炉记录!$H:$H,MATCH($A4,单炉记录!$C:$C,0)),""))</f>
        <v/>
      </c>
      <c r="C4" s="7">
        <f>IF($A4="","",IFERROR(INDEX(单炉记录!$E:$E,MATCH($A4,单炉记录!$C:$C,0)),""))</f>
        <v/>
      </c>
      <c r="D4" s="7">
        <f>IF($A4="","",COUNTIF(单炉记录!$C:$C,$A4))</f>
        <v/>
      </c>
      <c r="E4" s="7">
        <f>IF($A4="","",IFERROR(ROUND(AVERAGEIF(单炉记录!$C:$C,$A4,单炉记录!$T:$T),1),""))</f>
        <v/>
      </c>
      <c r="F4" s="7">
        <f>IF($A4="","",IFERROR(MAXIFS(单炉记录!$T:$T,单炉记录!$C:$C,$A4)-MINIFS(单炉记录!$T:$T,单炉记录!$C:$C,$A4),""))</f>
        <v/>
      </c>
      <c r="G4" s="7">
        <f>IF($A4="","",IFERROR(ROUND(AVERAGEIF(单炉记录!$C:$C,$A4,单炉记录!$U:$U),1),""))</f>
        <v/>
      </c>
      <c r="H4" s="7">
        <f>IF($A4="","",IFERROR(MAXIFS(单炉记录!$U:$U,单炉记录!$C:$C,$A4)-MINIFS(单炉记录!$U:$U,单炉记录!$C:$C,$A4),""))</f>
        <v/>
      </c>
      <c r="I4" s="7">
        <f>IF($A4="","",COUNTIFS(单炉记录!$C:$C,$A4,单炉记录!$Y:$Y,"是"))</f>
        <v/>
      </c>
      <c r="J4" s="7">
        <f>IF($A4="","",IFERROR(ROUND(AVERAGEIF(单炉记录!$C:$C,$A4,单炉记录!$AH:$AH),2),""))</f>
        <v/>
      </c>
      <c r="K4" s="7">
        <f>IF($A4="","",COUNTIFS(单炉记录!$C:$C,$A4,单炉记录!$AN:$AN,"暴冲"))</f>
        <v/>
      </c>
      <c r="L4" s="7">
        <f>IF($A4="","",IFERROR(ROUND(AVERAGEIF(单炉记录!$C:$C,$A4,单炉记录!$AP:$AP),2),""))</f>
        <v/>
      </c>
      <c r="M4" s="7">
        <f>IF($A4="","",IFERROR(ROUND(AVERAGEIF(单炉记录!$C:$C,$A4,单炉记录!$BA:$BA),2),""))</f>
        <v/>
      </c>
      <c r="N4" s="7">
        <f>IF($A4="","",IFERROR(ROUND(AVERAGEIF(单炉记录!$C:$C,$A4,单炉记录!$AX:$AX),2),""))</f>
        <v/>
      </c>
      <c r="O4" s="7">
        <f>IF($A4="","",IFERROR(ROUND(AVERAGEIF(单炉记录!$C:$C,$A4,单炉记录!$AY:$AY),2),""))</f>
        <v/>
      </c>
      <c r="P4" s="5" t="n"/>
      <c r="Q4" s="7">
        <f>IF($A4="","",ROUND(AVERAGE(J4,L4,M4,AVERAGE(N4,O4),P4),2))</f>
        <v/>
      </c>
      <c r="R4" s="5" t="n"/>
      <c r="S4" s="5" t="n"/>
      <c r="T4" s="6" t="n"/>
    </row>
    <row r="5">
      <c r="A5" s="5" t="n"/>
      <c r="B5" s="7">
        <f>IF($A5="","",IFERROR(INDEX(单炉记录!$H:$H,MATCH($A5,单炉记录!$C:$C,0)),""))</f>
        <v/>
      </c>
      <c r="C5" s="7">
        <f>IF($A5="","",IFERROR(INDEX(单炉记录!$E:$E,MATCH($A5,单炉记录!$C:$C,0)),""))</f>
        <v/>
      </c>
      <c r="D5" s="7">
        <f>IF($A5="","",COUNTIF(单炉记录!$C:$C,$A5))</f>
        <v/>
      </c>
      <c r="E5" s="7">
        <f>IF($A5="","",IFERROR(ROUND(AVERAGEIF(单炉记录!$C:$C,$A5,单炉记录!$T:$T),1),""))</f>
        <v/>
      </c>
      <c r="F5" s="7">
        <f>IF($A5="","",IFERROR(MAXIFS(单炉记录!$T:$T,单炉记录!$C:$C,$A5)-MINIFS(单炉记录!$T:$T,单炉记录!$C:$C,$A5),""))</f>
        <v/>
      </c>
      <c r="G5" s="7">
        <f>IF($A5="","",IFERROR(ROUND(AVERAGEIF(单炉记录!$C:$C,$A5,单炉记录!$U:$U),1),""))</f>
        <v/>
      </c>
      <c r="H5" s="7">
        <f>IF($A5="","",IFERROR(MAXIFS(单炉记录!$U:$U,单炉记录!$C:$C,$A5)-MINIFS(单炉记录!$U:$U,单炉记录!$C:$C,$A5),""))</f>
        <v/>
      </c>
      <c r="I5" s="7">
        <f>IF($A5="","",COUNTIFS(单炉记录!$C:$C,$A5,单炉记录!$Y:$Y,"是"))</f>
        <v/>
      </c>
      <c r="J5" s="7">
        <f>IF($A5="","",IFERROR(ROUND(AVERAGEIF(单炉记录!$C:$C,$A5,单炉记录!$AH:$AH),2),""))</f>
        <v/>
      </c>
      <c r="K5" s="7">
        <f>IF($A5="","",COUNTIFS(单炉记录!$C:$C,$A5,单炉记录!$AN:$AN,"暴冲"))</f>
        <v/>
      </c>
      <c r="L5" s="7">
        <f>IF($A5="","",IFERROR(ROUND(AVERAGEIF(单炉记录!$C:$C,$A5,单炉记录!$AP:$AP),2),""))</f>
        <v/>
      </c>
      <c r="M5" s="7">
        <f>IF($A5="","",IFERROR(ROUND(AVERAGEIF(单炉记录!$C:$C,$A5,单炉记录!$BA:$BA),2),""))</f>
        <v/>
      </c>
      <c r="N5" s="7">
        <f>IF($A5="","",IFERROR(ROUND(AVERAGEIF(单炉记录!$C:$C,$A5,单炉记录!$AX:$AX),2),""))</f>
        <v/>
      </c>
      <c r="O5" s="7">
        <f>IF($A5="","",IFERROR(ROUND(AVERAGEIF(单炉记录!$C:$C,$A5,单炉记录!$AY:$AY),2),""))</f>
        <v/>
      </c>
      <c r="P5" s="5" t="n"/>
      <c r="Q5" s="7">
        <f>IF($A5="","",ROUND(AVERAGE(J5,L5,M5,AVERAGE(N5,O5),P5),2))</f>
        <v/>
      </c>
      <c r="R5" s="5" t="n"/>
      <c r="S5" s="5" t="n"/>
      <c r="T5" s="6" t="n"/>
    </row>
    <row r="6">
      <c r="A6" s="5" t="n"/>
      <c r="B6" s="7">
        <f>IF($A6="","",IFERROR(INDEX(单炉记录!$H:$H,MATCH($A6,单炉记录!$C:$C,0)),""))</f>
        <v/>
      </c>
      <c r="C6" s="7">
        <f>IF($A6="","",IFERROR(INDEX(单炉记录!$E:$E,MATCH($A6,单炉记录!$C:$C,0)),""))</f>
        <v/>
      </c>
      <c r="D6" s="7">
        <f>IF($A6="","",COUNTIF(单炉记录!$C:$C,$A6))</f>
        <v/>
      </c>
      <c r="E6" s="7">
        <f>IF($A6="","",IFERROR(ROUND(AVERAGEIF(单炉记录!$C:$C,$A6,单炉记录!$T:$T),1),""))</f>
        <v/>
      </c>
      <c r="F6" s="7">
        <f>IF($A6="","",IFERROR(MAXIFS(单炉记录!$T:$T,单炉记录!$C:$C,$A6)-MINIFS(单炉记录!$T:$T,单炉记录!$C:$C,$A6),""))</f>
        <v/>
      </c>
      <c r="G6" s="7">
        <f>IF($A6="","",IFERROR(ROUND(AVERAGEIF(单炉记录!$C:$C,$A6,单炉记录!$U:$U),1),""))</f>
        <v/>
      </c>
      <c r="H6" s="7">
        <f>IF($A6="","",IFERROR(MAXIFS(单炉记录!$U:$U,单炉记录!$C:$C,$A6)-MINIFS(单炉记录!$U:$U,单炉记录!$C:$C,$A6),""))</f>
        <v/>
      </c>
      <c r="I6" s="7">
        <f>IF($A6="","",COUNTIFS(单炉记录!$C:$C,$A6,单炉记录!$Y:$Y,"是"))</f>
        <v/>
      </c>
      <c r="J6" s="7">
        <f>IF($A6="","",IFERROR(ROUND(AVERAGEIF(单炉记录!$C:$C,$A6,单炉记录!$AH:$AH),2),""))</f>
        <v/>
      </c>
      <c r="K6" s="7">
        <f>IF($A6="","",COUNTIFS(单炉记录!$C:$C,$A6,单炉记录!$AN:$AN,"暴冲"))</f>
        <v/>
      </c>
      <c r="L6" s="7">
        <f>IF($A6="","",IFERROR(ROUND(AVERAGEIF(单炉记录!$C:$C,$A6,单炉记录!$AP:$AP),2),""))</f>
        <v/>
      </c>
      <c r="M6" s="7">
        <f>IF($A6="","",IFERROR(ROUND(AVERAGEIF(单炉记录!$C:$C,$A6,单炉记录!$BA:$BA),2),""))</f>
        <v/>
      </c>
      <c r="N6" s="7">
        <f>IF($A6="","",IFERROR(ROUND(AVERAGEIF(单炉记录!$C:$C,$A6,单炉记录!$AX:$AX),2),""))</f>
        <v/>
      </c>
      <c r="O6" s="7">
        <f>IF($A6="","",IFERROR(ROUND(AVERAGEIF(单炉记录!$C:$C,$A6,单炉记录!$AY:$AY),2),""))</f>
        <v/>
      </c>
      <c r="P6" s="5" t="n"/>
      <c r="Q6" s="7">
        <f>IF($A6="","",ROUND(AVERAGE(J6,L6,M6,AVERAGE(N6,O6),P6),2))</f>
        <v/>
      </c>
      <c r="R6" s="5" t="n"/>
      <c r="S6" s="5" t="n"/>
      <c r="T6" s="6" t="n"/>
    </row>
    <row r="7">
      <c r="A7" s="5" t="n"/>
      <c r="B7" s="7">
        <f>IF($A7="","",IFERROR(INDEX(单炉记录!$H:$H,MATCH($A7,单炉记录!$C:$C,0)),""))</f>
        <v/>
      </c>
      <c r="C7" s="7">
        <f>IF($A7="","",IFERROR(INDEX(单炉记录!$E:$E,MATCH($A7,单炉记录!$C:$C,0)),""))</f>
        <v/>
      </c>
      <c r="D7" s="7">
        <f>IF($A7="","",COUNTIF(单炉记录!$C:$C,$A7))</f>
        <v/>
      </c>
      <c r="E7" s="7">
        <f>IF($A7="","",IFERROR(ROUND(AVERAGEIF(单炉记录!$C:$C,$A7,单炉记录!$T:$T),1),""))</f>
        <v/>
      </c>
      <c r="F7" s="7">
        <f>IF($A7="","",IFERROR(MAXIFS(单炉记录!$T:$T,单炉记录!$C:$C,$A7)-MINIFS(单炉记录!$T:$T,单炉记录!$C:$C,$A7),""))</f>
        <v/>
      </c>
      <c r="G7" s="7">
        <f>IF($A7="","",IFERROR(ROUND(AVERAGEIF(单炉记录!$C:$C,$A7,单炉记录!$U:$U),1),""))</f>
        <v/>
      </c>
      <c r="H7" s="7">
        <f>IF($A7="","",IFERROR(MAXIFS(单炉记录!$U:$U,单炉记录!$C:$C,$A7)-MINIFS(单炉记录!$U:$U,单炉记录!$C:$C,$A7),""))</f>
        <v/>
      </c>
      <c r="I7" s="7">
        <f>IF($A7="","",COUNTIFS(单炉记录!$C:$C,$A7,单炉记录!$Y:$Y,"是"))</f>
        <v/>
      </c>
      <c r="J7" s="7">
        <f>IF($A7="","",IFERROR(ROUND(AVERAGEIF(单炉记录!$C:$C,$A7,单炉记录!$AH:$AH),2),""))</f>
        <v/>
      </c>
      <c r="K7" s="7">
        <f>IF($A7="","",COUNTIFS(单炉记录!$C:$C,$A7,单炉记录!$AN:$AN,"暴冲"))</f>
        <v/>
      </c>
      <c r="L7" s="7">
        <f>IF($A7="","",IFERROR(ROUND(AVERAGEIF(单炉记录!$C:$C,$A7,单炉记录!$AP:$AP),2),""))</f>
        <v/>
      </c>
      <c r="M7" s="7">
        <f>IF($A7="","",IFERROR(ROUND(AVERAGEIF(单炉记录!$C:$C,$A7,单炉记录!$BA:$BA),2),""))</f>
        <v/>
      </c>
      <c r="N7" s="7">
        <f>IF($A7="","",IFERROR(ROUND(AVERAGEIF(单炉记录!$C:$C,$A7,单炉记录!$AX:$AX),2),""))</f>
        <v/>
      </c>
      <c r="O7" s="7">
        <f>IF($A7="","",IFERROR(ROUND(AVERAGEIF(单炉记录!$C:$C,$A7,单炉记录!$AY:$AY),2),""))</f>
        <v/>
      </c>
      <c r="P7" s="5" t="n"/>
      <c r="Q7" s="7">
        <f>IF($A7="","",ROUND(AVERAGE(J7,L7,M7,AVERAGE(N7,O7),P7),2))</f>
        <v/>
      </c>
      <c r="R7" s="5" t="n"/>
      <c r="S7" s="5" t="n"/>
      <c r="T7" s="6" t="n"/>
    </row>
    <row r="8">
      <c r="A8" s="5" t="n"/>
      <c r="B8" s="7">
        <f>IF($A8="","",IFERROR(INDEX(单炉记录!$H:$H,MATCH($A8,单炉记录!$C:$C,0)),""))</f>
        <v/>
      </c>
      <c r="C8" s="7">
        <f>IF($A8="","",IFERROR(INDEX(单炉记录!$E:$E,MATCH($A8,单炉记录!$C:$C,0)),""))</f>
        <v/>
      </c>
      <c r="D8" s="7">
        <f>IF($A8="","",COUNTIF(单炉记录!$C:$C,$A8))</f>
        <v/>
      </c>
      <c r="E8" s="7">
        <f>IF($A8="","",IFERROR(ROUND(AVERAGEIF(单炉记录!$C:$C,$A8,单炉记录!$T:$T),1),""))</f>
        <v/>
      </c>
      <c r="F8" s="7">
        <f>IF($A8="","",IFERROR(MAXIFS(单炉记录!$T:$T,单炉记录!$C:$C,$A8)-MINIFS(单炉记录!$T:$T,单炉记录!$C:$C,$A8),""))</f>
        <v/>
      </c>
      <c r="G8" s="7">
        <f>IF($A8="","",IFERROR(ROUND(AVERAGEIF(单炉记录!$C:$C,$A8,单炉记录!$U:$U),1),""))</f>
        <v/>
      </c>
      <c r="H8" s="7">
        <f>IF($A8="","",IFERROR(MAXIFS(单炉记录!$U:$U,单炉记录!$C:$C,$A8)-MINIFS(单炉记录!$U:$U,单炉记录!$C:$C,$A8),""))</f>
        <v/>
      </c>
      <c r="I8" s="7">
        <f>IF($A8="","",COUNTIFS(单炉记录!$C:$C,$A8,单炉记录!$Y:$Y,"是"))</f>
        <v/>
      </c>
      <c r="J8" s="7">
        <f>IF($A8="","",IFERROR(ROUND(AVERAGEIF(单炉记录!$C:$C,$A8,单炉记录!$AH:$AH),2),""))</f>
        <v/>
      </c>
      <c r="K8" s="7">
        <f>IF($A8="","",COUNTIFS(单炉记录!$C:$C,$A8,单炉记录!$AN:$AN,"暴冲"))</f>
        <v/>
      </c>
      <c r="L8" s="7">
        <f>IF($A8="","",IFERROR(ROUND(AVERAGEIF(单炉记录!$C:$C,$A8,单炉记录!$AP:$AP),2),""))</f>
        <v/>
      </c>
      <c r="M8" s="7">
        <f>IF($A8="","",IFERROR(ROUND(AVERAGEIF(单炉记录!$C:$C,$A8,单炉记录!$BA:$BA),2),""))</f>
        <v/>
      </c>
      <c r="N8" s="7">
        <f>IF($A8="","",IFERROR(ROUND(AVERAGEIF(单炉记录!$C:$C,$A8,单炉记录!$AX:$AX),2),""))</f>
        <v/>
      </c>
      <c r="O8" s="7">
        <f>IF($A8="","",IFERROR(ROUND(AVERAGEIF(单炉记录!$C:$C,$A8,单炉记录!$AY:$AY),2),""))</f>
        <v/>
      </c>
      <c r="P8" s="5" t="n"/>
      <c r="Q8" s="7">
        <f>IF($A8="","",ROUND(AVERAGE(J8,L8,M8,AVERAGE(N8,O8),P8),2))</f>
        <v/>
      </c>
      <c r="R8" s="5" t="n"/>
      <c r="S8" s="5" t="n"/>
      <c r="T8" s="6" t="n"/>
    </row>
    <row r="9">
      <c r="A9" s="5" t="n"/>
      <c r="B9" s="7">
        <f>IF($A9="","",IFERROR(INDEX(单炉记录!$H:$H,MATCH($A9,单炉记录!$C:$C,0)),""))</f>
        <v/>
      </c>
      <c r="C9" s="7">
        <f>IF($A9="","",IFERROR(INDEX(单炉记录!$E:$E,MATCH($A9,单炉记录!$C:$C,0)),""))</f>
        <v/>
      </c>
      <c r="D9" s="7">
        <f>IF($A9="","",COUNTIF(单炉记录!$C:$C,$A9))</f>
        <v/>
      </c>
      <c r="E9" s="7">
        <f>IF($A9="","",IFERROR(ROUND(AVERAGEIF(单炉记录!$C:$C,$A9,单炉记录!$T:$T),1),""))</f>
        <v/>
      </c>
      <c r="F9" s="7">
        <f>IF($A9="","",IFERROR(MAXIFS(单炉记录!$T:$T,单炉记录!$C:$C,$A9)-MINIFS(单炉记录!$T:$T,单炉记录!$C:$C,$A9),""))</f>
        <v/>
      </c>
      <c r="G9" s="7">
        <f>IF($A9="","",IFERROR(ROUND(AVERAGEIF(单炉记录!$C:$C,$A9,单炉记录!$U:$U),1),""))</f>
        <v/>
      </c>
      <c r="H9" s="7">
        <f>IF($A9="","",IFERROR(MAXIFS(单炉记录!$U:$U,单炉记录!$C:$C,$A9)-MINIFS(单炉记录!$U:$U,单炉记录!$C:$C,$A9),""))</f>
        <v/>
      </c>
      <c r="I9" s="7">
        <f>IF($A9="","",COUNTIFS(单炉记录!$C:$C,$A9,单炉记录!$Y:$Y,"是"))</f>
        <v/>
      </c>
      <c r="J9" s="7">
        <f>IF($A9="","",IFERROR(ROUND(AVERAGEIF(单炉记录!$C:$C,$A9,单炉记录!$AH:$AH),2),""))</f>
        <v/>
      </c>
      <c r="K9" s="7">
        <f>IF($A9="","",COUNTIFS(单炉记录!$C:$C,$A9,单炉记录!$AN:$AN,"暴冲"))</f>
        <v/>
      </c>
      <c r="L9" s="7">
        <f>IF($A9="","",IFERROR(ROUND(AVERAGEIF(单炉记录!$C:$C,$A9,单炉记录!$AP:$AP),2),""))</f>
        <v/>
      </c>
      <c r="M9" s="7">
        <f>IF($A9="","",IFERROR(ROUND(AVERAGEIF(单炉记录!$C:$C,$A9,单炉记录!$BA:$BA),2),""))</f>
        <v/>
      </c>
      <c r="N9" s="7">
        <f>IF($A9="","",IFERROR(ROUND(AVERAGEIF(单炉记录!$C:$C,$A9,单炉记录!$AX:$AX),2),""))</f>
        <v/>
      </c>
      <c r="O9" s="7">
        <f>IF($A9="","",IFERROR(ROUND(AVERAGEIF(单炉记录!$C:$C,$A9,单炉记录!$AY:$AY),2),""))</f>
        <v/>
      </c>
      <c r="P9" s="5" t="n"/>
      <c r="Q9" s="7">
        <f>IF($A9="","",ROUND(AVERAGE(J9,L9,M9,AVERAGE(N9,O9),P9),2))</f>
        <v/>
      </c>
      <c r="R9" s="5" t="n"/>
      <c r="S9" s="5" t="n"/>
      <c r="T9" s="6" t="n"/>
    </row>
    <row r="10">
      <c r="A10" s="5" t="n"/>
      <c r="B10" s="7">
        <f>IF($A10="","",IFERROR(INDEX(单炉记录!$H:$H,MATCH($A10,单炉记录!$C:$C,0)),""))</f>
        <v/>
      </c>
      <c r="C10" s="7">
        <f>IF($A10="","",IFERROR(INDEX(单炉记录!$E:$E,MATCH($A10,单炉记录!$C:$C,0)),""))</f>
        <v/>
      </c>
      <c r="D10" s="7">
        <f>IF($A10="","",COUNTIF(单炉记录!$C:$C,$A10))</f>
        <v/>
      </c>
      <c r="E10" s="7">
        <f>IF($A10="","",IFERROR(ROUND(AVERAGEIF(单炉记录!$C:$C,$A10,单炉记录!$T:$T),1),""))</f>
        <v/>
      </c>
      <c r="F10" s="7">
        <f>IF($A10="","",IFERROR(MAXIFS(单炉记录!$T:$T,单炉记录!$C:$C,$A10)-MINIFS(单炉记录!$T:$T,单炉记录!$C:$C,$A10),""))</f>
        <v/>
      </c>
      <c r="G10" s="7">
        <f>IF($A10="","",IFERROR(ROUND(AVERAGEIF(单炉记录!$C:$C,$A10,单炉记录!$U:$U),1),""))</f>
        <v/>
      </c>
      <c r="H10" s="7">
        <f>IF($A10="","",IFERROR(MAXIFS(单炉记录!$U:$U,单炉记录!$C:$C,$A10)-MINIFS(单炉记录!$U:$U,单炉记录!$C:$C,$A10),""))</f>
        <v/>
      </c>
      <c r="I10" s="7">
        <f>IF($A10="","",COUNTIFS(单炉记录!$C:$C,$A10,单炉记录!$Y:$Y,"是"))</f>
        <v/>
      </c>
      <c r="J10" s="7">
        <f>IF($A10="","",IFERROR(ROUND(AVERAGEIF(单炉记录!$C:$C,$A10,单炉记录!$AH:$AH),2),""))</f>
        <v/>
      </c>
      <c r="K10" s="7">
        <f>IF($A10="","",COUNTIFS(单炉记录!$C:$C,$A10,单炉记录!$AN:$AN,"暴冲"))</f>
        <v/>
      </c>
      <c r="L10" s="7">
        <f>IF($A10="","",IFERROR(ROUND(AVERAGEIF(单炉记录!$C:$C,$A10,单炉记录!$AP:$AP),2),""))</f>
        <v/>
      </c>
      <c r="M10" s="7">
        <f>IF($A10="","",IFERROR(ROUND(AVERAGEIF(单炉记录!$C:$C,$A10,单炉记录!$BA:$BA),2),""))</f>
        <v/>
      </c>
      <c r="N10" s="7">
        <f>IF($A10="","",IFERROR(ROUND(AVERAGEIF(单炉记录!$C:$C,$A10,单炉记录!$AX:$AX),2),""))</f>
        <v/>
      </c>
      <c r="O10" s="7">
        <f>IF($A10="","",IFERROR(ROUND(AVERAGEIF(单炉记录!$C:$C,$A10,单炉记录!$AY:$AY),2),""))</f>
        <v/>
      </c>
      <c r="P10" s="5" t="n"/>
      <c r="Q10" s="7">
        <f>IF($A10="","",ROUND(AVERAGE(J10,L10,M10,AVERAGE(N10,O10),P10),2))</f>
        <v/>
      </c>
      <c r="R10" s="5" t="n"/>
      <c r="S10" s="5" t="n"/>
      <c r="T10" s="6" t="n"/>
    </row>
    <row r="11">
      <c r="A11" s="5" t="n"/>
      <c r="B11" s="7">
        <f>IF($A11="","",IFERROR(INDEX(单炉记录!$H:$H,MATCH($A11,单炉记录!$C:$C,0)),""))</f>
        <v/>
      </c>
      <c r="C11" s="7">
        <f>IF($A11="","",IFERROR(INDEX(单炉记录!$E:$E,MATCH($A11,单炉记录!$C:$C,0)),""))</f>
        <v/>
      </c>
      <c r="D11" s="7">
        <f>IF($A11="","",COUNTIF(单炉记录!$C:$C,$A11))</f>
        <v/>
      </c>
      <c r="E11" s="7">
        <f>IF($A11="","",IFERROR(ROUND(AVERAGEIF(单炉记录!$C:$C,$A11,单炉记录!$T:$T),1),""))</f>
        <v/>
      </c>
      <c r="F11" s="7">
        <f>IF($A11="","",IFERROR(MAXIFS(单炉记录!$T:$T,单炉记录!$C:$C,$A11)-MINIFS(单炉记录!$T:$T,单炉记录!$C:$C,$A11),""))</f>
        <v/>
      </c>
      <c r="G11" s="7">
        <f>IF($A11="","",IFERROR(ROUND(AVERAGEIF(单炉记录!$C:$C,$A11,单炉记录!$U:$U),1),""))</f>
        <v/>
      </c>
      <c r="H11" s="7">
        <f>IF($A11="","",IFERROR(MAXIFS(单炉记录!$U:$U,单炉记录!$C:$C,$A11)-MINIFS(单炉记录!$U:$U,单炉记录!$C:$C,$A11),""))</f>
        <v/>
      </c>
      <c r="I11" s="7">
        <f>IF($A11="","",COUNTIFS(单炉记录!$C:$C,$A11,单炉记录!$Y:$Y,"是"))</f>
        <v/>
      </c>
      <c r="J11" s="7">
        <f>IF($A11="","",IFERROR(ROUND(AVERAGEIF(单炉记录!$C:$C,$A11,单炉记录!$AH:$AH),2),""))</f>
        <v/>
      </c>
      <c r="K11" s="7">
        <f>IF($A11="","",COUNTIFS(单炉记录!$C:$C,$A11,单炉记录!$AN:$AN,"暴冲"))</f>
        <v/>
      </c>
      <c r="L11" s="7">
        <f>IF($A11="","",IFERROR(ROUND(AVERAGEIF(单炉记录!$C:$C,$A11,单炉记录!$AP:$AP),2),""))</f>
        <v/>
      </c>
      <c r="M11" s="7">
        <f>IF($A11="","",IFERROR(ROUND(AVERAGEIF(单炉记录!$C:$C,$A11,单炉记录!$BA:$BA),2),""))</f>
        <v/>
      </c>
      <c r="N11" s="7">
        <f>IF($A11="","",IFERROR(ROUND(AVERAGEIF(单炉记录!$C:$C,$A11,单炉记录!$AX:$AX),2),""))</f>
        <v/>
      </c>
      <c r="O11" s="7">
        <f>IF($A11="","",IFERROR(ROUND(AVERAGEIF(单炉记录!$C:$C,$A11,单炉记录!$AY:$AY),2),""))</f>
        <v/>
      </c>
      <c r="P11" s="5" t="n"/>
      <c r="Q11" s="7">
        <f>IF($A11="","",ROUND(AVERAGE(J11,L11,M11,AVERAGE(N11,O11),P11),2))</f>
        <v/>
      </c>
      <c r="R11" s="5" t="n"/>
      <c r="S11" s="5" t="n"/>
      <c r="T11" s="6" t="n"/>
    </row>
    <row r="12">
      <c r="A12" s="5" t="n"/>
      <c r="B12" s="7">
        <f>IF($A12="","",IFERROR(INDEX(单炉记录!$H:$H,MATCH($A12,单炉记录!$C:$C,0)),""))</f>
        <v/>
      </c>
      <c r="C12" s="7">
        <f>IF($A12="","",IFERROR(INDEX(单炉记录!$E:$E,MATCH($A12,单炉记录!$C:$C,0)),""))</f>
        <v/>
      </c>
      <c r="D12" s="7">
        <f>IF($A12="","",COUNTIF(单炉记录!$C:$C,$A12))</f>
        <v/>
      </c>
      <c r="E12" s="7">
        <f>IF($A12="","",IFERROR(ROUND(AVERAGEIF(单炉记录!$C:$C,$A12,单炉记录!$T:$T),1),""))</f>
        <v/>
      </c>
      <c r="F12" s="7">
        <f>IF($A12="","",IFERROR(MAXIFS(单炉记录!$T:$T,单炉记录!$C:$C,$A12)-MINIFS(单炉记录!$T:$T,单炉记录!$C:$C,$A12),""))</f>
        <v/>
      </c>
      <c r="G12" s="7">
        <f>IF($A12="","",IFERROR(ROUND(AVERAGEIF(单炉记录!$C:$C,$A12,单炉记录!$U:$U),1),""))</f>
        <v/>
      </c>
      <c r="H12" s="7">
        <f>IF($A12="","",IFERROR(MAXIFS(单炉记录!$U:$U,单炉记录!$C:$C,$A12)-MINIFS(单炉记录!$U:$U,单炉记录!$C:$C,$A12),""))</f>
        <v/>
      </c>
      <c r="I12" s="7">
        <f>IF($A12="","",COUNTIFS(单炉记录!$C:$C,$A12,单炉记录!$Y:$Y,"是"))</f>
        <v/>
      </c>
      <c r="J12" s="7">
        <f>IF($A12="","",IFERROR(ROUND(AVERAGEIF(单炉记录!$C:$C,$A12,单炉记录!$AH:$AH),2),""))</f>
        <v/>
      </c>
      <c r="K12" s="7">
        <f>IF($A12="","",COUNTIFS(单炉记录!$C:$C,$A12,单炉记录!$AN:$AN,"暴冲"))</f>
        <v/>
      </c>
      <c r="L12" s="7">
        <f>IF($A12="","",IFERROR(ROUND(AVERAGEIF(单炉记录!$C:$C,$A12,单炉记录!$AP:$AP),2),""))</f>
        <v/>
      </c>
      <c r="M12" s="7">
        <f>IF($A12="","",IFERROR(ROUND(AVERAGEIF(单炉记录!$C:$C,$A12,单炉记录!$BA:$BA),2),""))</f>
        <v/>
      </c>
      <c r="N12" s="7">
        <f>IF($A12="","",IFERROR(ROUND(AVERAGEIF(单炉记录!$C:$C,$A12,单炉记录!$AX:$AX),2),""))</f>
        <v/>
      </c>
      <c r="O12" s="7">
        <f>IF($A12="","",IFERROR(ROUND(AVERAGEIF(单炉记录!$C:$C,$A12,单炉记录!$AY:$AY),2),""))</f>
        <v/>
      </c>
      <c r="P12" s="5" t="n"/>
      <c r="Q12" s="7">
        <f>IF($A12="","",ROUND(AVERAGE(J12,L12,M12,AVERAGE(N12,O12),P12),2))</f>
        <v/>
      </c>
      <c r="R12" s="5" t="n"/>
      <c r="S12" s="5" t="n"/>
      <c r="T12" s="6" t="n"/>
    </row>
    <row r="13">
      <c r="A13" s="5" t="n"/>
      <c r="B13" s="7">
        <f>IF($A13="","",IFERROR(INDEX(单炉记录!$H:$H,MATCH($A13,单炉记录!$C:$C,0)),""))</f>
        <v/>
      </c>
      <c r="C13" s="7">
        <f>IF($A13="","",IFERROR(INDEX(单炉记录!$E:$E,MATCH($A13,单炉记录!$C:$C,0)),""))</f>
        <v/>
      </c>
      <c r="D13" s="7">
        <f>IF($A13="","",COUNTIF(单炉记录!$C:$C,$A13))</f>
        <v/>
      </c>
      <c r="E13" s="7">
        <f>IF($A13="","",IFERROR(ROUND(AVERAGEIF(单炉记录!$C:$C,$A13,单炉记录!$T:$T),1),""))</f>
        <v/>
      </c>
      <c r="F13" s="7">
        <f>IF($A13="","",IFERROR(MAXIFS(单炉记录!$T:$T,单炉记录!$C:$C,$A13)-MINIFS(单炉记录!$T:$T,单炉记录!$C:$C,$A13),""))</f>
        <v/>
      </c>
      <c r="G13" s="7">
        <f>IF($A13="","",IFERROR(ROUND(AVERAGEIF(单炉记录!$C:$C,$A13,单炉记录!$U:$U),1),""))</f>
        <v/>
      </c>
      <c r="H13" s="7">
        <f>IF($A13="","",IFERROR(MAXIFS(单炉记录!$U:$U,单炉记录!$C:$C,$A13)-MINIFS(单炉记录!$U:$U,单炉记录!$C:$C,$A13),""))</f>
        <v/>
      </c>
      <c r="I13" s="7">
        <f>IF($A13="","",COUNTIFS(单炉记录!$C:$C,$A13,单炉记录!$Y:$Y,"是"))</f>
        <v/>
      </c>
      <c r="J13" s="7">
        <f>IF($A13="","",IFERROR(ROUND(AVERAGEIF(单炉记录!$C:$C,$A13,单炉记录!$AH:$AH),2),""))</f>
        <v/>
      </c>
      <c r="K13" s="7">
        <f>IF($A13="","",COUNTIFS(单炉记录!$C:$C,$A13,单炉记录!$AN:$AN,"暴冲"))</f>
        <v/>
      </c>
      <c r="L13" s="7">
        <f>IF($A13="","",IFERROR(ROUND(AVERAGEIF(单炉记录!$C:$C,$A13,单炉记录!$AP:$AP),2),""))</f>
        <v/>
      </c>
      <c r="M13" s="7">
        <f>IF($A13="","",IFERROR(ROUND(AVERAGEIF(单炉记录!$C:$C,$A13,单炉记录!$BA:$BA),2),""))</f>
        <v/>
      </c>
      <c r="N13" s="7">
        <f>IF($A13="","",IFERROR(ROUND(AVERAGEIF(单炉记录!$C:$C,$A13,单炉记录!$AX:$AX),2),""))</f>
        <v/>
      </c>
      <c r="O13" s="7">
        <f>IF($A13="","",IFERROR(ROUND(AVERAGEIF(单炉记录!$C:$C,$A13,单炉记录!$AY:$AY),2),""))</f>
        <v/>
      </c>
      <c r="P13" s="5" t="n"/>
      <c r="Q13" s="7">
        <f>IF($A13="","",ROUND(AVERAGE(J13,L13,M13,AVERAGE(N13,O13),P13),2))</f>
        <v/>
      </c>
      <c r="R13" s="5" t="n"/>
      <c r="S13" s="5" t="n"/>
      <c r="T13" s="6" t="n"/>
    </row>
    <row r="14">
      <c r="A14" s="5" t="n"/>
      <c r="B14" s="7">
        <f>IF($A14="","",IFERROR(INDEX(单炉记录!$H:$H,MATCH($A14,单炉记录!$C:$C,0)),""))</f>
        <v/>
      </c>
      <c r="C14" s="7">
        <f>IF($A14="","",IFERROR(INDEX(单炉记录!$E:$E,MATCH($A14,单炉记录!$C:$C,0)),""))</f>
        <v/>
      </c>
      <c r="D14" s="7">
        <f>IF($A14="","",COUNTIF(单炉记录!$C:$C,$A14))</f>
        <v/>
      </c>
      <c r="E14" s="7">
        <f>IF($A14="","",IFERROR(ROUND(AVERAGEIF(单炉记录!$C:$C,$A14,单炉记录!$T:$T),1),""))</f>
        <v/>
      </c>
      <c r="F14" s="7">
        <f>IF($A14="","",IFERROR(MAXIFS(单炉记录!$T:$T,单炉记录!$C:$C,$A14)-MINIFS(单炉记录!$T:$T,单炉记录!$C:$C,$A14),""))</f>
        <v/>
      </c>
      <c r="G14" s="7">
        <f>IF($A14="","",IFERROR(ROUND(AVERAGEIF(单炉记录!$C:$C,$A14,单炉记录!$U:$U),1),""))</f>
        <v/>
      </c>
      <c r="H14" s="7">
        <f>IF($A14="","",IFERROR(MAXIFS(单炉记录!$U:$U,单炉记录!$C:$C,$A14)-MINIFS(单炉记录!$U:$U,单炉记录!$C:$C,$A14),""))</f>
        <v/>
      </c>
      <c r="I14" s="7">
        <f>IF($A14="","",COUNTIFS(单炉记录!$C:$C,$A14,单炉记录!$Y:$Y,"是"))</f>
        <v/>
      </c>
      <c r="J14" s="7">
        <f>IF($A14="","",IFERROR(ROUND(AVERAGEIF(单炉记录!$C:$C,$A14,单炉记录!$AH:$AH),2),""))</f>
        <v/>
      </c>
      <c r="K14" s="7">
        <f>IF($A14="","",COUNTIFS(单炉记录!$C:$C,$A14,单炉记录!$AN:$AN,"暴冲"))</f>
        <v/>
      </c>
      <c r="L14" s="7">
        <f>IF($A14="","",IFERROR(ROUND(AVERAGEIF(单炉记录!$C:$C,$A14,单炉记录!$AP:$AP),2),""))</f>
        <v/>
      </c>
      <c r="M14" s="7">
        <f>IF($A14="","",IFERROR(ROUND(AVERAGEIF(单炉记录!$C:$C,$A14,单炉记录!$BA:$BA),2),""))</f>
        <v/>
      </c>
      <c r="N14" s="7">
        <f>IF($A14="","",IFERROR(ROUND(AVERAGEIF(单炉记录!$C:$C,$A14,单炉记录!$AX:$AX),2),""))</f>
        <v/>
      </c>
      <c r="O14" s="7">
        <f>IF($A14="","",IFERROR(ROUND(AVERAGEIF(单炉记录!$C:$C,$A14,单炉记录!$AY:$AY),2),""))</f>
        <v/>
      </c>
      <c r="P14" s="5" t="n"/>
      <c r="Q14" s="7">
        <f>IF($A14="","",ROUND(AVERAGE(J14,L14,M14,AVERAGE(N14,O14),P14),2))</f>
        <v/>
      </c>
      <c r="R14" s="5" t="n"/>
      <c r="S14" s="5" t="n"/>
      <c r="T14" s="6" t="n"/>
    </row>
    <row r="15">
      <c r="A15" s="5" t="n"/>
      <c r="B15" s="7">
        <f>IF($A15="","",IFERROR(INDEX(单炉记录!$H:$H,MATCH($A15,单炉记录!$C:$C,0)),""))</f>
        <v/>
      </c>
      <c r="C15" s="7">
        <f>IF($A15="","",IFERROR(INDEX(单炉记录!$E:$E,MATCH($A15,单炉记录!$C:$C,0)),""))</f>
        <v/>
      </c>
      <c r="D15" s="7">
        <f>IF($A15="","",COUNTIF(单炉记录!$C:$C,$A15))</f>
        <v/>
      </c>
      <c r="E15" s="7">
        <f>IF($A15="","",IFERROR(ROUND(AVERAGEIF(单炉记录!$C:$C,$A15,单炉记录!$T:$T),1),""))</f>
        <v/>
      </c>
      <c r="F15" s="7">
        <f>IF($A15="","",IFERROR(MAXIFS(单炉记录!$T:$T,单炉记录!$C:$C,$A15)-MINIFS(单炉记录!$T:$T,单炉记录!$C:$C,$A15),""))</f>
        <v/>
      </c>
      <c r="G15" s="7">
        <f>IF($A15="","",IFERROR(ROUND(AVERAGEIF(单炉记录!$C:$C,$A15,单炉记录!$U:$U),1),""))</f>
        <v/>
      </c>
      <c r="H15" s="7">
        <f>IF($A15="","",IFERROR(MAXIFS(单炉记录!$U:$U,单炉记录!$C:$C,$A15)-MINIFS(单炉记录!$U:$U,单炉记录!$C:$C,$A15),""))</f>
        <v/>
      </c>
      <c r="I15" s="7">
        <f>IF($A15="","",COUNTIFS(单炉记录!$C:$C,$A15,单炉记录!$Y:$Y,"是"))</f>
        <v/>
      </c>
      <c r="J15" s="7">
        <f>IF($A15="","",IFERROR(ROUND(AVERAGEIF(单炉记录!$C:$C,$A15,单炉记录!$AH:$AH),2),""))</f>
        <v/>
      </c>
      <c r="K15" s="7">
        <f>IF($A15="","",COUNTIFS(单炉记录!$C:$C,$A15,单炉记录!$AN:$AN,"暴冲"))</f>
        <v/>
      </c>
      <c r="L15" s="7">
        <f>IF($A15="","",IFERROR(ROUND(AVERAGEIF(单炉记录!$C:$C,$A15,单炉记录!$AP:$AP),2),""))</f>
        <v/>
      </c>
      <c r="M15" s="7">
        <f>IF($A15="","",IFERROR(ROUND(AVERAGEIF(单炉记录!$C:$C,$A15,单炉记录!$BA:$BA),2),""))</f>
        <v/>
      </c>
      <c r="N15" s="7">
        <f>IF($A15="","",IFERROR(ROUND(AVERAGEIF(单炉记录!$C:$C,$A15,单炉记录!$AX:$AX),2),""))</f>
        <v/>
      </c>
      <c r="O15" s="7">
        <f>IF($A15="","",IFERROR(ROUND(AVERAGEIF(单炉记录!$C:$C,$A15,单炉记录!$AY:$AY),2),""))</f>
        <v/>
      </c>
      <c r="P15" s="5" t="n"/>
      <c r="Q15" s="7">
        <f>IF($A15="","",ROUND(AVERAGE(J15,L15,M15,AVERAGE(N15,O15),P15),2))</f>
        <v/>
      </c>
      <c r="R15" s="5" t="n"/>
      <c r="S15" s="5" t="n"/>
      <c r="T15" s="6" t="n"/>
    </row>
    <row r="16">
      <c r="A16" s="5" t="n"/>
      <c r="B16" s="7">
        <f>IF($A16="","",IFERROR(INDEX(单炉记录!$H:$H,MATCH($A16,单炉记录!$C:$C,0)),""))</f>
        <v/>
      </c>
      <c r="C16" s="7">
        <f>IF($A16="","",IFERROR(INDEX(单炉记录!$E:$E,MATCH($A16,单炉记录!$C:$C,0)),""))</f>
        <v/>
      </c>
      <c r="D16" s="7">
        <f>IF($A16="","",COUNTIF(单炉记录!$C:$C,$A16))</f>
        <v/>
      </c>
      <c r="E16" s="7">
        <f>IF($A16="","",IFERROR(ROUND(AVERAGEIF(单炉记录!$C:$C,$A16,单炉记录!$T:$T),1),""))</f>
        <v/>
      </c>
      <c r="F16" s="7">
        <f>IF($A16="","",IFERROR(MAXIFS(单炉记录!$T:$T,单炉记录!$C:$C,$A16)-MINIFS(单炉记录!$T:$T,单炉记录!$C:$C,$A16),""))</f>
        <v/>
      </c>
      <c r="G16" s="7">
        <f>IF($A16="","",IFERROR(ROUND(AVERAGEIF(单炉记录!$C:$C,$A16,单炉记录!$U:$U),1),""))</f>
        <v/>
      </c>
      <c r="H16" s="7">
        <f>IF($A16="","",IFERROR(MAXIFS(单炉记录!$U:$U,单炉记录!$C:$C,$A16)-MINIFS(单炉记录!$U:$U,单炉记录!$C:$C,$A16),""))</f>
        <v/>
      </c>
      <c r="I16" s="7">
        <f>IF($A16="","",COUNTIFS(单炉记录!$C:$C,$A16,单炉记录!$Y:$Y,"是"))</f>
        <v/>
      </c>
      <c r="J16" s="7">
        <f>IF($A16="","",IFERROR(ROUND(AVERAGEIF(单炉记录!$C:$C,$A16,单炉记录!$AH:$AH),2),""))</f>
        <v/>
      </c>
      <c r="K16" s="7">
        <f>IF($A16="","",COUNTIFS(单炉记录!$C:$C,$A16,单炉记录!$AN:$AN,"暴冲"))</f>
        <v/>
      </c>
      <c r="L16" s="7">
        <f>IF($A16="","",IFERROR(ROUND(AVERAGEIF(单炉记录!$C:$C,$A16,单炉记录!$AP:$AP),2),""))</f>
        <v/>
      </c>
      <c r="M16" s="7">
        <f>IF($A16="","",IFERROR(ROUND(AVERAGEIF(单炉记录!$C:$C,$A16,单炉记录!$BA:$BA),2),""))</f>
        <v/>
      </c>
      <c r="N16" s="7">
        <f>IF($A16="","",IFERROR(ROUND(AVERAGEIF(单炉记录!$C:$C,$A16,单炉记录!$AX:$AX),2),""))</f>
        <v/>
      </c>
      <c r="O16" s="7">
        <f>IF($A16="","",IFERROR(ROUND(AVERAGEIF(单炉记录!$C:$C,$A16,单炉记录!$AY:$AY),2),""))</f>
        <v/>
      </c>
      <c r="P16" s="5" t="n"/>
      <c r="Q16" s="7">
        <f>IF($A16="","",ROUND(AVERAGE(J16,L16,M16,AVERAGE(N16,O16),P16),2))</f>
        <v/>
      </c>
      <c r="R16" s="5" t="n"/>
      <c r="S16" s="5" t="n"/>
      <c r="T16" s="6" t="n"/>
    </row>
    <row r="17">
      <c r="A17" s="5" t="n"/>
      <c r="B17" s="7">
        <f>IF($A17="","",IFERROR(INDEX(单炉记录!$H:$H,MATCH($A17,单炉记录!$C:$C,0)),""))</f>
        <v/>
      </c>
      <c r="C17" s="7">
        <f>IF($A17="","",IFERROR(INDEX(单炉记录!$E:$E,MATCH($A17,单炉记录!$C:$C,0)),""))</f>
        <v/>
      </c>
      <c r="D17" s="7">
        <f>IF($A17="","",COUNTIF(单炉记录!$C:$C,$A17))</f>
        <v/>
      </c>
      <c r="E17" s="7">
        <f>IF($A17="","",IFERROR(ROUND(AVERAGEIF(单炉记录!$C:$C,$A17,单炉记录!$T:$T),1),""))</f>
        <v/>
      </c>
      <c r="F17" s="7">
        <f>IF($A17="","",IFERROR(MAXIFS(单炉记录!$T:$T,单炉记录!$C:$C,$A17)-MINIFS(单炉记录!$T:$T,单炉记录!$C:$C,$A17),""))</f>
        <v/>
      </c>
      <c r="G17" s="7">
        <f>IF($A17="","",IFERROR(ROUND(AVERAGEIF(单炉记录!$C:$C,$A17,单炉记录!$U:$U),1),""))</f>
        <v/>
      </c>
      <c r="H17" s="7">
        <f>IF($A17="","",IFERROR(MAXIFS(单炉记录!$U:$U,单炉记录!$C:$C,$A17)-MINIFS(单炉记录!$U:$U,单炉记录!$C:$C,$A17),""))</f>
        <v/>
      </c>
      <c r="I17" s="7">
        <f>IF($A17="","",COUNTIFS(单炉记录!$C:$C,$A17,单炉记录!$Y:$Y,"是"))</f>
        <v/>
      </c>
      <c r="J17" s="7">
        <f>IF($A17="","",IFERROR(ROUND(AVERAGEIF(单炉记录!$C:$C,$A17,单炉记录!$AH:$AH),2),""))</f>
        <v/>
      </c>
      <c r="K17" s="7">
        <f>IF($A17="","",COUNTIFS(单炉记录!$C:$C,$A17,单炉记录!$AN:$AN,"暴冲"))</f>
        <v/>
      </c>
      <c r="L17" s="7">
        <f>IF($A17="","",IFERROR(ROUND(AVERAGEIF(单炉记录!$C:$C,$A17,单炉记录!$AP:$AP),2),""))</f>
        <v/>
      </c>
      <c r="M17" s="7">
        <f>IF($A17="","",IFERROR(ROUND(AVERAGEIF(单炉记录!$C:$C,$A17,单炉记录!$BA:$BA),2),""))</f>
        <v/>
      </c>
      <c r="N17" s="7">
        <f>IF($A17="","",IFERROR(ROUND(AVERAGEIF(单炉记录!$C:$C,$A17,单炉记录!$AX:$AX),2),""))</f>
        <v/>
      </c>
      <c r="O17" s="7">
        <f>IF($A17="","",IFERROR(ROUND(AVERAGEIF(单炉记录!$C:$C,$A17,单炉记录!$AY:$AY),2),""))</f>
        <v/>
      </c>
      <c r="P17" s="5" t="n"/>
      <c r="Q17" s="7">
        <f>IF($A17="","",ROUND(AVERAGE(J17,L17,M17,AVERAGE(N17,O17),P17),2))</f>
        <v/>
      </c>
      <c r="R17" s="5" t="n"/>
      <c r="S17" s="5" t="n"/>
      <c r="T17" s="6" t="n"/>
    </row>
    <row r="18">
      <c r="A18" s="5" t="n"/>
      <c r="B18" s="7">
        <f>IF($A18="","",IFERROR(INDEX(单炉记录!$H:$H,MATCH($A18,单炉记录!$C:$C,0)),""))</f>
        <v/>
      </c>
      <c r="C18" s="7">
        <f>IF($A18="","",IFERROR(INDEX(单炉记录!$E:$E,MATCH($A18,单炉记录!$C:$C,0)),""))</f>
        <v/>
      </c>
      <c r="D18" s="7">
        <f>IF($A18="","",COUNTIF(单炉记录!$C:$C,$A18))</f>
        <v/>
      </c>
      <c r="E18" s="7">
        <f>IF($A18="","",IFERROR(ROUND(AVERAGEIF(单炉记录!$C:$C,$A18,单炉记录!$T:$T),1),""))</f>
        <v/>
      </c>
      <c r="F18" s="7">
        <f>IF($A18="","",IFERROR(MAXIFS(单炉记录!$T:$T,单炉记录!$C:$C,$A18)-MINIFS(单炉记录!$T:$T,单炉记录!$C:$C,$A18),""))</f>
        <v/>
      </c>
      <c r="G18" s="7">
        <f>IF($A18="","",IFERROR(ROUND(AVERAGEIF(单炉记录!$C:$C,$A18,单炉记录!$U:$U),1),""))</f>
        <v/>
      </c>
      <c r="H18" s="7">
        <f>IF($A18="","",IFERROR(MAXIFS(单炉记录!$U:$U,单炉记录!$C:$C,$A18)-MINIFS(单炉记录!$U:$U,单炉记录!$C:$C,$A18),""))</f>
        <v/>
      </c>
      <c r="I18" s="7">
        <f>IF($A18="","",COUNTIFS(单炉记录!$C:$C,$A18,单炉记录!$Y:$Y,"是"))</f>
        <v/>
      </c>
      <c r="J18" s="7">
        <f>IF($A18="","",IFERROR(ROUND(AVERAGEIF(单炉记录!$C:$C,$A18,单炉记录!$AH:$AH),2),""))</f>
        <v/>
      </c>
      <c r="K18" s="7">
        <f>IF($A18="","",COUNTIFS(单炉记录!$C:$C,$A18,单炉记录!$AN:$AN,"暴冲"))</f>
        <v/>
      </c>
      <c r="L18" s="7">
        <f>IF($A18="","",IFERROR(ROUND(AVERAGEIF(单炉记录!$C:$C,$A18,单炉记录!$AP:$AP),2),""))</f>
        <v/>
      </c>
      <c r="M18" s="7">
        <f>IF($A18="","",IFERROR(ROUND(AVERAGEIF(单炉记录!$C:$C,$A18,单炉记录!$BA:$BA),2),""))</f>
        <v/>
      </c>
      <c r="N18" s="7">
        <f>IF($A18="","",IFERROR(ROUND(AVERAGEIF(单炉记录!$C:$C,$A18,单炉记录!$AX:$AX),2),""))</f>
        <v/>
      </c>
      <c r="O18" s="7">
        <f>IF($A18="","",IFERROR(ROUND(AVERAGEIF(单炉记录!$C:$C,$A18,单炉记录!$AY:$AY),2),""))</f>
        <v/>
      </c>
      <c r="P18" s="5" t="n"/>
      <c r="Q18" s="7">
        <f>IF($A18="","",ROUND(AVERAGE(J18,L18,M18,AVERAGE(N18,O18),P18),2))</f>
        <v/>
      </c>
      <c r="R18" s="5" t="n"/>
      <c r="S18" s="5" t="n"/>
      <c r="T18" s="6" t="n"/>
    </row>
    <row r="19">
      <c r="A19" s="5" t="n"/>
      <c r="B19" s="7">
        <f>IF($A19="","",IFERROR(INDEX(单炉记录!$H:$H,MATCH($A19,单炉记录!$C:$C,0)),""))</f>
        <v/>
      </c>
      <c r="C19" s="7">
        <f>IF($A19="","",IFERROR(INDEX(单炉记录!$E:$E,MATCH($A19,单炉记录!$C:$C,0)),""))</f>
        <v/>
      </c>
      <c r="D19" s="7">
        <f>IF($A19="","",COUNTIF(单炉记录!$C:$C,$A19))</f>
        <v/>
      </c>
      <c r="E19" s="7">
        <f>IF($A19="","",IFERROR(ROUND(AVERAGEIF(单炉记录!$C:$C,$A19,单炉记录!$T:$T),1),""))</f>
        <v/>
      </c>
      <c r="F19" s="7">
        <f>IF($A19="","",IFERROR(MAXIFS(单炉记录!$T:$T,单炉记录!$C:$C,$A19)-MINIFS(单炉记录!$T:$T,单炉记录!$C:$C,$A19),""))</f>
        <v/>
      </c>
      <c r="G19" s="7">
        <f>IF($A19="","",IFERROR(ROUND(AVERAGEIF(单炉记录!$C:$C,$A19,单炉记录!$U:$U),1),""))</f>
        <v/>
      </c>
      <c r="H19" s="7">
        <f>IF($A19="","",IFERROR(MAXIFS(单炉记录!$U:$U,单炉记录!$C:$C,$A19)-MINIFS(单炉记录!$U:$U,单炉记录!$C:$C,$A19),""))</f>
        <v/>
      </c>
      <c r="I19" s="7">
        <f>IF($A19="","",COUNTIFS(单炉记录!$C:$C,$A19,单炉记录!$Y:$Y,"是"))</f>
        <v/>
      </c>
      <c r="J19" s="7">
        <f>IF($A19="","",IFERROR(ROUND(AVERAGEIF(单炉记录!$C:$C,$A19,单炉记录!$AH:$AH),2),""))</f>
        <v/>
      </c>
      <c r="K19" s="7">
        <f>IF($A19="","",COUNTIFS(单炉记录!$C:$C,$A19,单炉记录!$AN:$AN,"暴冲"))</f>
        <v/>
      </c>
      <c r="L19" s="7">
        <f>IF($A19="","",IFERROR(ROUND(AVERAGEIF(单炉记录!$C:$C,$A19,单炉记录!$AP:$AP),2),""))</f>
        <v/>
      </c>
      <c r="M19" s="7">
        <f>IF($A19="","",IFERROR(ROUND(AVERAGEIF(单炉记录!$C:$C,$A19,单炉记录!$BA:$BA),2),""))</f>
        <v/>
      </c>
      <c r="N19" s="7">
        <f>IF($A19="","",IFERROR(ROUND(AVERAGEIF(单炉记录!$C:$C,$A19,单炉记录!$AX:$AX),2),""))</f>
        <v/>
      </c>
      <c r="O19" s="7">
        <f>IF($A19="","",IFERROR(ROUND(AVERAGEIF(单炉记录!$C:$C,$A19,单炉记录!$AY:$AY),2),""))</f>
        <v/>
      </c>
      <c r="P19" s="5" t="n"/>
      <c r="Q19" s="7">
        <f>IF($A19="","",ROUND(AVERAGE(J19,L19,M19,AVERAGE(N19,O19),P19),2))</f>
        <v/>
      </c>
      <c r="R19" s="5" t="n"/>
      <c r="S19" s="5" t="n"/>
      <c r="T19" s="6" t="n"/>
    </row>
    <row r="20">
      <c r="A20" s="5" t="n"/>
      <c r="B20" s="7">
        <f>IF($A20="","",IFERROR(INDEX(单炉记录!$H:$H,MATCH($A20,单炉记录!$C:$C,0)),""))</f>
        <v/>
      </c>
      <c r="C20" s="7">
        <f>IF($A20="","",IFERROR(INDEX(单炉记录!$E:$E,MATCH($A20,单炉记录!$C:$C,0)),""))</f>
        <v/>
      </c>
      <c r="D20" s="7">
        <f>IF($A20="","",COUNTIF(单炉记录!$C:$C,$A20))</f>
        <v/>
      </c>
      <c r="E20" s="7">
        <f>IF($A20="","",IFERROR(ROUND(AVERAGEIF(单炉记录!$C:$C,$A20,单炉记录!$T:$T),1),""))</f>
        <v/>
      </c>
      <c r="F20" s="7">
        <f>IF($A20="","",IFERROR(MAXIFS(单炉记录!$T:$T,单炉记录!$C:$C,$A20)-MINIFS(单炉记录!$T:$T,单炉记录!$C:$C,$A20),""))</f>
        <v/>
      </c>
      <c r="G20" s="7">
        <f>IF($A20="","",IFERROR(ROUND(AVERAGEIF(单炉记录!$C:$C,$A20,单炉记录!$U:$U),1),""))</f>
        <v/>
      </c>
      <c r="H20" s="7">
        <f>IF($A20="","",IFERROR(MAXIFS(单炉记录!$U:$U,单炉记录!$C:$C,$A20)-MINIFS(单炉记录!$U:$U,单炉记录!$C:$C,$A20),""))</f>
        <v/>
      </c>
      <c r="I20" s="7">
        <f>IF($A20="","",COUNTIFS(单炉记录!$C:$C,$A20,单炉记录!$Y:$Y,"是"))</f>
        <v/>
      </c>
      <c r="J20" s="7">
        <f>IF($A20="","",IFERROR(ROUND(AVERAGEIF(单炉记录!$C:$C,$A20,单炉记录!$AH:$AH),2),""))</f>
        <v/>
      </c>
      <c r="K20" s="7">
        <f>IF($A20="","",COUNTIFS(单炉记录!$C:$C,$A20,单炉记录!$AN:$AN,"暴冲"))</f>
        <v/>
      </c>
      <c r="L20" s="7">
        <f>IF($A20="","",IFERROR(ROUND(AVERAGEIF(单炉记录!$C:$C,$A20,单炉记录!$AP:$AP),2),""))</f>
        <v/>
      </c>
      <c r="M20" s="7">
        <f>IF($A20="","",IFERROR(ROUND(AVERAGEIF(单炉记录!$C:$C,$A20,单炉记录!$BA:$BA),2),""))</f>
        <v/>
      </c>
      <c r="N20" s="7">
        <f>IF($A20="","",IFERROR(ROUND(AVERAGEIF(单炉记录!$C:$C,$A20,单炉记录!$AX:$AX),2),""))</f>
        <v/>
      </c>
      <c r="O20" s="7">
        <f>IF($A20="","",IFERROR(ROUND(AVERAGEIF(单炉记录!$C:$C,$A20,单炉记录!$AY:$AY),2),""))</f>
        <v/>
      </c>
      <c r="P20" s="5" t="n"/>
      <c r="Q20" s="7">
        <f>IF($A20="","",ROUND(AVERAGE(J20,L20,M20,AVERAGE(N20,O20),P20),2))</f>
        <v/>
      </c>
      <c r="R20" s="5" t="n"/>
      <c r="S20" s="5" t="n"/>
      <c r="T20" s="6" t="n"/>
    </row>
    <row r="21">
      <c r="A21" s="5" t="n"/>
      <c r="B21" s="7">
        <f>IF($A21="","",IFERROR(INDEX(单炉记录!$H:$H,MATCH($A21,单炉记录!$C:$C,0)),""))</f>
        <v/>
      </c>
      <c r="C21" s="7">
        <f>IF($A21="","",IFERROR(INDEX(单炉记录!$E:$E,MATCH($A21,单炉记录!$C:$C,0)),""))</f>
        <v/>
      </c>
      <c r="D21" s="7">
        <f>IF($A21="","",COUNTIF(单炉记录!$C:$C,$A21))</f>
        <v/>
      </c>
      <c r="E21" s="7">
        <f>IF($A21="","",IFERROR(ROUND(AVERAGEIF(单炉记录!$C:$C,$A21,单炉记录!$T:$T),1),""))</f>
        <v/>
      </c>
      <c r="F21" s="7">
        <f>IF($A21="","",IFERROR(MAXIFS(单炉记录!$T:$T,单炉记录!$C:$C,$A21)-MINIFS(单炉记录!$T:$T,单炉记录!$C:$C,$A21),""))</f>
        <v/>
      </c>
      <c r="G21" s="7">
        <f>IF($A21="","",IFERROR(ROUND(AVERAGEIF(单炉记录!$C:$C,$A21,单炉记录!$U:$U),1),""))</f>
        <v/>
      </c>
      <c r="H21" s="7">
        <f>IF($A21="","",IFERROR(MAXIFS(单炉记录!$U:$U,单炉记录!$C:$C,$A21)-MINIFS(单炉记录!$U:$U,单炉记录!$C:$C,$A21),""))</f>
        <v/>
      </c>
      <c r="I21" s="7">
        <f>IF($A21="","",COUNTIFS(单炉记录!$C:$C,$A21,单炉记录!$Y:$Y,"是"))</f>
        <v/>
      </c>
      <c r="J21" s="7">
        <f>IF($A21="","",IFERROR(ROUND(AVERAGEIF(单炉记录!$C:$C,$A21,单炉记录!$AH:$AH),2),""))</f>
        <v/>
      </c>
      <c r="K21" s="7">
        <f>IF($A21="","",COUNTIFS(单炉记录!$C:$C,$A21,单炉记录!$AN:$AN,"暴冲"))</f>
        <v/>
      </c>
      <c r="L21" s="7">
        <f>IF($A21="","",IFERROR(ROUND(AVERAGEIF(单炉记录!$C:$C,$A21,单炉记录!$AP:$AP),2),""))</f>
        <v/>
      </c>
      <c r="M21" s="7">
        <f>IF($A21="","",IFERROR(ROUND(AVERAGEIF(单炉记录!$C:$C,$A21,单炉记录!$BA:$BA),2),""))</f>
        <v/>
      </c>
      <c r="N21" s="7">
        <f>IF($A21="","",IFERROR(ROUND(AVERAGEIF(单炉记录!$C:$C,$A21,单炉记录!$AX:$AX),2),""))</f>
        <v/>
      </c>
      <c r="O21" s="7">
        <f>IF($A21="","",IFERROR(ROUND(AVERAGEIF(单炉记录!$C:$C,$A21,单炉记录!$AY:$AY),2),""))</f>
        <v/>
      </c>
      <c r="P21" s="5" t="n"/>
      <c r="Q21" s="7">
        <f>IF($A21="","",ROUND(AVERAGE(J21,L21,M21,AVERAGE(N21,O21),P21),2))</f>
        <v/>
      </c>
      <c r="R21" s="5" t="n"/>
      <c r="S21" s="5" t="n"/>
      <c r="T21" s="6" t="n"/>
    </row>
    <row r="22">
      <c r="A22" s="5" t="n"/>
      <c r="B22" s="7">
        <f>IF($A22="","",IFERROR(INDEX(单炉记录!$H:$H,MATCH($A22,单炉记录!$C:$C,0)),""))</f>
        <v/>
      </c>
      <c r="C22" s="7">
        <f>IF($A22="","",IFERROR(INDEX(单炉记录!$E:$E,MATCH($A22,单炉记录!$C:$C,0)),""))</f>
        <v/>
      </c>
      <c r="D22" s="7">
        <f>IF($A22="","",COUNTIF(单炉记录!$C:$C,$A22))</f>
        <v/>
      </c>
      <c r="E22" s="7">
        <f>IF($A22="","",IFERROR(ROUND(AVERAGEIF(单炉记录!$C:$C,$A22,单炉记录!$T:$T),1),""))</f>
        <v/>
      </c>
      <c r="F22" s="7">
        <f>IF($A22="","",IFERROR(MAXIFS(单炉记录!$T:$T,单炉记录!$C:$C,$A22)-MINIFS(单炉记录!$T:$T,单炉记录!$C:$C,$A22),""))</f>
        <v/>
      </c>
      <c r="G22" s="7">
        <f>IF($A22="","",IFERROR(ROUND(AVERAGEIF(单炉记录!$C:$C,$A22,单炉记录!$U:$U),1),""))</f>
        <v/>
      </c>
      <c r="H22" s="7">
        <f>IF($A22="","",IFERROR(MAXIFS(单炉记录!$U:$U,单炉记录!$C:$C,$A22)-MINIFS(单炉记录!$U:$U,单炉记录!$C:$C,$A22),""))</f>
        <v/>
      </c>
      <c r="I22" s="7">
        <f>IF($A22="","",COUNTIFS(单炉记录!$C:$C,$A22,单炉记录!$Y:$Y,"是"))</f>
        <v/>
      </c>
      <c r="J22" s="7">
        <f>IF($A22="","",IFERROR(ROUND(AVERAGEIF(单炉记录!$C:$C,$A22,单炉记录!$AH:$AH),2),""))</f>
        <v/>
      </c>
      <c r="K22" s="7">
        <f>IF($A22="","",COUNTIFS(单炉记录!$C:$C,$A22,单炉记录!$AN:$AN,"暴冲"))</f>
        <v/>
      </c>
      <c r="L22" s="7">
        <f>IF($A22="","",IFERROR(ROUND(AVERAGEIF(单炉记录!$C:$C,$A22,单炉记录!$AP:$AP),2),""))</f>
        <v/>
      </c>
      <c r="M22" s="7">
        <f>IF($A22="","",IFERROR(ROUND(AVERAGEIF(单炉记录!$C:$C,$A22,单炉记录!$BA:$BA),2),""))</f>
        <v/>
      </c>
      <c r="N22" s="7">
        <f>IF($A22="","",IFERROR(ROUND(AVERAGEIF(单炉记录!$C:$C,$A22,单炉记录!$AX:$AX),2),""))</f>
        <v/>
      </c>
      <c r="O22" s="7">
        <f>IF($A22="","",IFERROR(ROUND(AVERAGEIF(单炉记录!$C:$C,$A22,单炉记录!$AY:$AY),2),""))</f>
        <v/>
      </c>
      <c r="P22" s="5" t="n"/>
      <c r="Q22" s="7">
        <f>IF($A22="","",ROUND(AVERAGE(J22,L22,M22,AVERAGE(N22,O22),P22),2))</f>
        <v/>
      </c>
      <c r="R22" s="5" t="n"/>
      <c r="S22" s="5" t="n"/>
      <c r="T22" s="6" t="n"/>
    </row>
    <row r="23">
      <c r="A23" s="5" t="n"/>
      <c r="B23" s="7">
        <f>IF($A23="","",IFERROR(INDEX(单炉记录!$H:$H,MATCH($A23,单炉记录!$C:$C,0)),""))</f>
        <v/>
      </c>
      <c r="C23" s="7">
        <f>IF($A23="","",IFERROR(INDEX(单炉记录!$E:$E,MATCH($A23,单炉记录!$C:$C,0)),""))</f>
        <v/>
      </c>
      <c r="D23" s="7">
        <f>IF($A23="","",COUNTIF(单炉记录!$C:$C,$A23))</f>
        <v/>
      </c>
      <c r="E23" s="7">
        <f>IF($A23="","",IFERROR(ROUND(AVERAGEIF(单炉记录!$C:$C,$A23,单炉记录!$T:$T),1),""))</f>
        <v/>
      </c>
      <c r="F23" s="7">
        <f>IF($A23="","",IFERROR(MAXIFS(单炉记录!$T:$T,单炉记录!$C:$C,$A23)-MINIFS(单炉记录!$T:$T,单炉记录!$C:$C,$A23),""))</f>
        <v/>
      </c>
      <c r="G23" s="7">
        <f>IF($A23="","",IFERROR(ROUND(AVERAGEIF(单炉记录!$C:$C,$A23,单炉记录!$U:$U),1),""))</f>
        <v/>
      </c>
      <c r="H23" s="7">
        <f>IF($A23="","",IFERROR(MAXIFS(单炉记录!$U:$U,单炉记录!$C:$C,$A23)-MINIFS(单炉记录!$U:$U,单炉记录!$C:$C,$A23),""))</f>
        <v/>
      </c>
      <c r="I23" s="7">
        <f>IF($A23="","",COUNTIFS(单炉记录!$C:$C,$A23,单炉记录!$Y:$Y,"是"))</f>
        <v/>
      </c>
      <c r="J23" s="7">
        <f>IF($A23="","",IFERROR(ROUND(AVERAGEIF(单炉记录!$C:$C,$A23,单炉记录!$AH:$AH),2),""))</f>
        <v/>
      </c>
      <c r="K23" s="7">
        <f>IF($A23="","",COUNTIFS(单炉记录!$C:$C,$A23,单炉记录!$AN:$AN,"暴冲"))</f>
        <v/>
      </c>
      <c r="L23" s="7">
        <f>IF($A23="","",IFERROR(ROUND(AVERAGEIF(单炉记录!$C:$C,$A23,单炉记录!$AP:$AP),2),""))</f>
        <v/>
      </c>
      <c r="M23" s="7">
        <f>IF($A23="","",IFERROR(ROUND(AVERAGEIF(单炉记录!$C:$C,$A23,单炉记录!$BA:$BA),2),""))</f>
        <v/>
      </c>
      <c r="N23" s="7">
        <f>IF($A23="","",IFERROR(ROUND(AVERAGEIF(单炉记录!$C:$C,$A23,单炉记录!$AX:$AX),2),""))</f>
        <v/>
      </c>
      <c r="O23" s="7">
        <f>IF($A23="","",IFERROR(ROUND(AVERAGEIF(单炉记录!$C:$C,$A23,单炉记录!$AY:$AY),2),""))</f>
        <v/>
      </c>
      <c r="P23" s="5" t="n"/>
      <c r="Q23" s="7">
        <f>IF($A23="","",ROUND(AVERAGE(J23,L23,M23,AVERAGE(N23,O23),P23),2))</f>
        <v/>
      </c>
      <c r="R23" s="5" t="n"/>
      <c r="S23" s="5" t="n"/>
      <c r="T23" s="6" t="n"/>
    </row>
    <row r="24">
      <c r="A24" s="5" t="n"/>
      <c r="B24" s="7">
        <f>IF($A24="","",IFERROR(INDEX(单炉记录!$H:$H,MATCH($A24,单炉记录!$C:$C,0)),""))</f>
        <v/>
      </c>
      <c r="C24" s="7">
        <f>IF($A24="","",IFERROR(INDEX(单炉记录!$E:$E,MATCH($A24,单炉记录!$C:$C,0)),""))</f>
        <v/>
      </c>
      <c r="D24" s="7">
        <f>IF($A24="","",COUNTIF(单炉记录!$C:$C,$A24))</f>
        <v/>
      </c>
      <c r="E24" s="7">
        <f>IF($A24="","",IFERROR(ROUND(AVERAGEIF(单炉记录!$C:$C,$A24,单炉记录!$T:$T),1),""))</f>
        <v/>
      </c>
      <c r="F24" s="7">
        <f>IF($A24="","",IFERROR(MAXIFS(单炉记录!$T:$T,单炉记录!$C:$C,$A24)-MINIFS(单炉记录!$T:$T,单炉记录!$C:$C,$A24),""))</f>
        <v/>
      </c>
      <c r="G24" s="7">
        <f>IF($A24="","",IFERROR(ROUND(AVERAGEIF(单炉记录!$C:$C,$A24,单炉记录!$U:$U),1),""))</f>
        <v/>
      </c>
      <c r="H24" s="7">
        <f>IF($A24="","",IFERROR(MAXIFS(单炉记录!$U:$U,单炉记录!$C:$C,$A24)-MINIFS(单炉记录!$U:$U,单炉记录!$C:$C,$A24),""))</f>
        <v/>
      </c>
      <c r="I24" s="7">
        <f>IF($A24="","",COUNTIFS(单炉记录!$C:$C,$A24,单炉记录!$Y:$Y,"是"))</f>
        <v/>
      </c>
      <c r="J24" s="7">
        <f>IF($A24="","",IFERROR(ROUND(AVERAGEIF(单炉记录!$C:$C,$A24,单炉记录!$AH:$AH),2),""))</f>
        <v/>
      </c>
      <c r="K24" s="7">
        <f>IF($A24="","",COUNTIFS(单炉记录!$C:$C,$A24,单炉记录!$AN:$AN,"暴冲"))</f>
        <v/>
      </c>
      <c r="L24" s="7">
        <f>IF($A24="","",IFERROR(ROUND(AVERAGEIF(单炉记录!$C:$C,$A24,单炉记录!$AP:$AP),2),""))</f>
        <v/>
      </c>
      <c r="M24" s="7">
        <f>IF($A24="","",IFERROR(ROUND(AVERAGEIF(单炉记录!$C:$C,$A24,单炉记录!$BA:$BA),2),""))</f>
        <v/>
      </c>
      <c r="N24" s="7">
        <f>IF($A24="","",IFERROR(ROUND(AVERAGEIF(单炉记录!$C:$C,$A24,单炉记录!$AX:$AX),2),""))</f>
        <v/>
      </c>
      <c r="O24" s="7">
        <f>IF($A24="","",IFERROR(ROUND(AVERAGEIF(单炉记录!$C:$C,$A24,单炉记录!$AY:$AY),2),""))</f>
        <v/>
      </c>
      <c r="P24" s="5" t="n"/>
      <c r="Q24" s="7">
        <f>IF($A24="","",ROUND(AVERAGE(J24,L24,M24,AVERAGE(N24,O24),P24),2))</f>
        <v/>
      </c>
      <c r="R24" s="5" t="n"/>
      <c r="S24" s="5" t="n"/>
      <c r="T24" s="6" t="n"/>
    </row>
    <row r="25">
      <c r="A25" s="5" t="n"/>
      <c r="B25" s="7">
        <f>IF($A25="","",IFERROR(INDEX(单炉记录!$H:$H,MATCH($A25,单炉记录!$C:$C,0)),""))</f>
        <v/>
      </c>
      <c r="C25" s="7">
        <f>IF($A25="","",IFERROR(INDEX(单炉记录!$E:$E,MATCH($A25,单炉记录!$C:$C,0)),""))</f>
        <v/>
      </c>
      <c r="D25" s="7">
        <f>IF($A25="","",COUNTIF(单炉记录!$C:$C,$A25))</f>
        <v/>
      </c>
      <c r="E25" s="7">
        <f>IF($A25="","",IFERROR(ROUND(AVERAGEIF(单炉记录!$C:$C,$A25,单炉记录!$T:$T),1),""))</f>
        <v/>
      </c>
      <c r="F25" s="7">
        <f>IF($A25="","",IFERROR(MAXIFS(单炉记录!$T:$T,单炉记录!$C:$C,$A25)-MINIFS(单炉记录!$T:$T,单炉记录!$C:$C,$A25),""))</f>
        <v/>
      </c>
      <c r="G25" s="7">
        <f>IF($A25="","",IFERROR(ROUND(AVERAGEIF(单炉记录!$C:$C,$A25,单炉记录!$U:$U),1),""))</f>
        <v/>
      </c>
      <c r="H25" s="7">
        <f>IF($A25="","",IFERROR(MAXIFS(单炉记录!$U:$U,单炉记录!$C:$C,$A25)-MINIFS(单炉记录!$U:$U,单炉记录!$C:$C,$A25),""))</f>
        <v/>
      </c>
      <c r="I25" s="7">
        <f>IF($A25="","",COUNTIFS(单炉记录!$C:$C,$A25,单炉记录!$Y:$Y,"是"))</f>
        <v/>
      </c>
      <c r="J25" s="7">
        <f>IF($A25="","",IFERROR(ROUND(AVERAGEIF(单炉记录!$C:$C,$A25,单炉记录!$AH:$AH),2),""))</f>
        <v/>
      </c>
      <c r="K25" s="7">
        <f>IF($A25="","",COUNTIFS(单炉记录!$C:$C,$A25,单炉记录!$AN:$AN,"暴冲"))</f>
        <v/>
      </c>
      <c r="L25" s="7">
        <f>IF($A25="","",IFERROR(ROUND(AVERAGEIF(单炉记录!$C:$C,$A25,单炉记录!$AP:$AP),2),""))</f>
        <v/>
      </c>
      <c r="M25" s="7">
        <f>IF($A25="","",IFERROR(ROUND(AVERAGEIF(单炉记录!$C:$C,$A25,单炉记录!$BA:$BA),2),""))</f>
        <v/>
      </c>
      <c r="N25" s="7">
        <f>IF($A25="","",IFERROR(ROUND(AVERAGEIF(单炉记录!$C:$C,$A25,单炉记录!$AX:$AX),2),""))</f>
        <v/>
      </c>
      <c r="O25" s="7">
        <f>IF($A25="","",IFERROR(ROUND(AVERAGEIF(单炉记录!$C:$C,$A25,单炉记录!$AY:$AY),2),""))</f>
        <v/>
      </c>
      <c r="P25" s="5" t="n"/>
      <c r="Q25" s="7">
        <f>IF($A25="","",ROUND(AVERAGE(J25,L25,M25,AVERAGE(N25,O25),P25),2))</f>
        <v/>
      </c>
      <c r="R25" s="5" t="n"/>
      <c r="S25" s="5" t="n"/>
      <c r="T25" s="6" t="n"/>
    </row>
    <row r="26">
      <c r="A26" s="5" t="n"/>
      <c r="B26" s="7">
        <f>IF($A26="","",IFERROR(INDEX(单炉记录!$H:$H,MATCH($A26,单炉记录!$C:$C,0)),""))</f>
        <v/>
      </c>
      <c r="C26" s="7">
        <f>IF($A26="","",IFERROR(INDEX(单炉记录!$E:$E,MATCH($A26,单炉记录!$C:$C,0)),""))</f>
        <v/>
      </c>
      <c r="D26" s="7">
        <f>IF($A26="","",COUNTIF(单炉记录!$C:$C,$A26))</f>
        <v/>
      </c>
      <c r="E26" s="7">
        <f>IF($A26="","",IFERROR(ROUND(AVERAGEIF(单炉记录!$C:$C,$A26,单炉记录!$T:$T),1),""))</f>
        <v/>
      </c>
      <c r="F26" s="7">
        <f>IF($A26="","",IFERROR(MAXIFS(单炉记录!$T:$T,单炉记录!$C:$C,$A26)-MINIFS(单炉记录!$T:$T,单炉记录!$C:$C,$A26),""))</f>
        <v/>
      </c>
      <c r="G26" s="7">
        <f>IF($A26="","",IFERROR(ROUND(AVERAGEIF(单炉记录!$C:$C,$A26,单炉记录!$U:$U),1),""))</f>
        <v/>
      </c>
      <c r="H26" s="7">
        <f>IF($A26="","",IFERROR(MAXIFS(单炉记录!$U:$U,单炉记录!$C:$C,$A26)-MINIFS(单炉记录!$U:$U,单炉记录!$C:$C,$A26),""))</f>
        <v/>
      </c>
      <c r="I26" s="7">
        <f>IF($A26="","",COUNTIFS(单炉记录!$C:$C,$A26,单炉记录!$Y:$Y,"是"))</f>
        <v/>
      </c>
      <c r="J26" s="7">
        <f>IF($A26="","",IFERROR(ROUND(AVERAGEIF(单炉记录!$C:$C,$A26,单炉记录!$AH:$AH),2),""))</f>
        <v/>
      </c>
      <c r="K26" s="7">
        <f>IF($A26="","",COUNTIFS(单炉记录!$C:$C,$A26,单炉记录!$AN:$AN,"暴冲"))</f>
        <v/>
      </c>
      <c r="L26" s="7">
        <f>IF($A26="","",IFERROR(ROUND(AVERAGEIF(单炉记录!$C:$C,$A26,单炉记录!$AP:$AP),2),""))</f>
        <v/>
      </c>
      <c r="M26" s="7">
        <f>IF($A26="","",IFERROR(ROUND(AVERAGEIF(单炉记录!$C:$C,$A26,单炉记录!$BA:$BA),2),""))</f>
        <v/>
      </c>
      <c r="N26" s="7">
        <f>IF($A26="","",IFERROR(ROUND(AVERAGEIF(单炉记录!$C:$C,$A26,单炉记录!$AX:$AX),2),""))</f>
        <v/>
      </c>
      <c r="O26" s="7">
        <f>IF($A26="","",IFERROR(ROUND(AVERAGEIF(单炉记录!$C:$C,$A26,单炉记录!$AY:$AY),2),""))</f>
        <v/>
      </c>
      <c r="P26" s="5" t="n"/>
      <c r="Q26" s="7">
        <f>IF($A26="","",ROUND(AVERAGE(J26,L26,M26,AVERAGE(N26,O26),P26),2))</f>
        <v/>
      </c>
      <c r="R26" s="5" t="n"/>
      <c r="S26" s="5" t="n"/>
      <c r="T26" s="6" t="n"/>
    </row>
    <row r="27">
      <c r="A27" s="5" t="n"/>
      <c r="B27" s="7">
        <f>IF($A27="","",IFERROR(INDEX(单炉记录!$H:$H,MATCH($A27,单炉记录!$C:$C,0)),""))</f>
        <v/>
      </c>
      <c r="C27" s="7">
        <f>IF($A27="","",IFERROR(INDEX(单炉记录!$E:$E,MATCH($A27,单炉记录!$C:$C,0)),""))</f>
        <v/>
      </c>
      <c r="D27" s="7">
        <f>IF($A27="","",COUNTIF(单炉记录!$C:$C,$A27))</f>
        <v/>
      </c>
      <c r="E27" s="7">
        <f>IF($A27="","",IFERROR(ROUND(AVERAGEIF(单炉记录!$C:$C,$A27,单炉记录!$T:$T),1),""))</f>
        <v/>
      </c>
      <c r="F27" s="7">
        <f>IF($A27="","",IFERROR(MAXIFS(单炉记录!$T:$T,单炉记录!$C:$C,$A27)-MINIFS(单炉记录!$T:$T,单炉记录!$C:$C,$A27),""))</f>
        <v/>
      </c>
      <c r="G27" s="7">
        <f>IF($A27="","",IFERROR(ROUND(AVERAGEIF(单炉记录!$C:$C,$A27,单炉记录!$U:$U),1),""))</f>
        <v/>
      </c>
      <c r="H27" s="7">
        <f>IF($A27="","",IFERROR(MAXIFS(单炉记录!$U:$U,单炉记录!$C:$C,$A27)-MINIFS(单炉记录!$U:$U,单炉记录!$C:$C,$A27),""))</f>
        <v/>
      </c>
      <c r="I27" s="7">
        <f>IF($A27="","",COUNTIFS(单炉记录!$C:$C,$A27,单炉记录!$Y:$Y,"是"))</f>
        <v/>
      </c>
      <c r="J27" s="7">
        <f>IF($A27="","",IFERROR(ROUND(AVERAGEIF(单炉记录!$C:$C,$A27,单炉记录!$AH:$AH),2),""))</f>
        <v/>
      </c>
      <c r="K27" s="7">
        <f>IF($A27="","",COUNTIFS(单炉记录!$C:$C,$A27,单炉记录!$AN:$AN,"暴冲"))</f>
        <v/>
      </c>
      <c r="L27" s="7">
        <f>IF($A27="","",IFERROR(ROUND(AVERAGEIF(单炉记录!$C:$C,$A27,单炉记录!$AP:$AP),2),""))</f>
        <v/>
      </c>
      <c r="M27" s="7">
        <f>IF($A27="","",IFERROR(ROUND(AVERAGEIF(单炉记录!$C:$C,$A27,单炉记录!$BA:$BA),2),""))</f>
        <v/>
      </c>
      <c r="N27" s="7">
        <f>IF($A27="","",IFERROR(ROUND(AVERAGEIF(单炉记录!$C:$C,$A27,单炉记录!$AX:$AX),2),""))</f>
        <v/>
      </c>
      <c r="O27" s="7">
        <f>IF($A27="","",IFERROR(ROUND(AVERAGEIF(单炉记录!$C:$C,$A27,单炉记录!$AY:$AY),2),""))</f>
        <v/>
      </c>
      <c r="P27" s="5" t="n"/>
      <c r="Q27" s="7">
        <f>IF($A27="","",ROUND(AVERAGE(J27,L27,M27,AVERAGE(N27,O27),P27),2))</f>
        <v/>
      </c>
      <c r="R27" s="5" t="n"/>
      <c r="S27" s="5" t="n"/>
      <c r="T27" s="6" t="n"/>
    </row>
    <row r="28">
      <c r="A28" s="5" t="n"/>
      <c r="B28" s="7">
        <f>IF($A28="","",IFERROR(INDEX(单炉记录!$H:$H,MATCH($A28,单炉记录!$C:$C,0)),""))</f>
        <v/>
      </c>
      <c r="C28" s="7">
        <f>IF($A28="","",IFERROR(INDEX(单炉记录!$E:$E,MATCH($A28,单炉记录!$C:$C,0)),""))</f>
        <v/>
      </c>
      <c r="D28" s="7">
        <f>IF($A28="","",COUNTIF(单炉记录!$C:$C,$A28))</f>
        <v/>
      </c>
      <c r="E28" s="7">
        <f>IF($A28="","",IFERROR(ROUND(AVERAGEIF(单炉记录!$C:$C,$A28,单炉记录!$T:$T),1),""))</f>
        <v/>
      </c>
      <c r="F28" s="7">
        <f>IF($A28="","",IFERROR(MAXIFS(单炉记录!$T:$T,单炉记录!$C:$C,$A28)-MINIFS(单炉记录!$T:$T,单炉记录!$C:$C,$A28),""))</f>
        <v/>
      </c>
      <c r="G28" s="7">
        <f>IF($A28="","",IFERROR(ROUND(AVERAGEIF(单炉记录!$C:$C,$A28,单炉记录!$U:$U),1),""))</f>
        <v/>
      </c>
      <c r="H28" s="7">
        <f>IF($A28="","",IFERROR(MAXIFS(单炉记录!$U:$U,单炉记录!$C:$C,$A28)-MINIFS(单炉记录!$U:$U,单炉记录!$C:$C,$A28),""))</f>
        <v/>
      </c>
      <c r="I28" s="7">
        <f>IF($A28="","",COUNTIFS(单炉记录!$C:$C,$A28,单炉记录!$Y:$Y,"是"))</f>
        <v/>
      </c>
      <c r="J28" s="7">
        <f>IF($A28="","",IFERROR(ROUND(AVERAGEIF(单炉记录!$C:$C,$A28,单炉记录!$AH:$AH),2),""))</f>
        <v/>
      </c>
      <c r="K28" s="7">
        <f>IF($A28="","",COUNTIFS(单炉记录!$C:$C,$A28,单炉记录!$AN:$AN,"暴冲"))</f>
        <v/>
      </c>
      <c r="L28" s="7">
        <f>IF($A28="","",IFERROR(ROUND(AVERAGEIF(单炉记录!$C:$C,$A28,单炉记录!$AP:$AP),2),""))</f>
        <v/>
      </c>
      <c r="M28" s="7">
        <f>IF($A28="","",IFERROR(ROUND(AVERAGEIF(单炉记录!$C:$C,$A28,单炉记录!$BA:$BA),2),""))</f>
        <v/>
      </c>
      <c r="N28" s="7">
        <f>IF($A28="","",IFERROR(ROUND(AVERAGEIF(单炉记录!$C:$C,$A28,单炉记录!$AX:$AX),2),""))</f>
        <v/>
      </c>
      <c r="O28" s="7">
        <f>IF($A28="","",IFERROR(ROUND(AVERAGEIF(单炉记录!$C:$C,$A28,单炉记录!$AY:$AY),2),""))</f>
        <v/>
      </c>
      <c r="P28" s="5" t="n"/>
      <c r="Q28" s="7">
        <f>IF($A28="","",ROUND(AVERAGE(J28,L28,M28,AVERAGE(N28,O28),P28),2))</f>
        <v/>
      </c>
      <c r="R28" s="5" t="n"/>
      <c r="S28" s="5" t="n"/>
      <c r="T28" s="6" t="n"/>
    </row>
    <row r="29">
      <c r="A29" s="5" t="n"/>
      <c r="B29" s="7">
        <f>IF($A29="","",IFERROR(INDEX(单炉记录!$H:$H,MATCH($A29,单炉记录!$C:$C,0)),""))</f>
        <v/>
      </c>
      <c r="C29" s="7">
        <f>IF($A29="","",IFERROR(INDEX(单炉记录!$E:$E,MATCH($A29,单炉记录!$C:$C,0)),""))</f>
        <v/>
      </c>
      <c r="D29" s="7">
        <f>IF($A29="","",COUNTIF(单炉记录!$C:$C,$A29))</f>
        <v/>
      </c>
      <c r="E29" s="7">
        <f>IF($A29="","",IFERROR(ROUND(AVERAGEIF(单炉记录!$C:$C,$A29,单炉记录!$T:$T),1),""))</f>
        <v/>
      </c>
      <c r="F29" s="7">
        <f>IF($A29="","",IFERROR(MAXIFS(单炉记录!$T:$T,单炉记录!$C:$C,$A29)-MINIFS(单炉记录!$T:$T,单炉记录!$C:$C,$A29),""))</f>
        <v/>
      </c>
      <c r="G29" s="7">
        <f>IF($A29="","",IFERROR(ROUND(AVERAGEIF(单炉记录!$C:$C,$A29,单炉记录!$U:$U),1),""))</f>
        <v/>
      </c>
      <c r="H29" s="7">
        <f>IF($A29="","",IFERROR(MAXIFS(单炉记录!$U:$U,单炉记录!$C:$C,$A29)-MINIFS(单炉记录!$U:$U,单炉记录!$C:$C,$A29),""))</f>
        <v/>
      </c>
      <c r="I29" s="7">
        <f>IF($A29="","",COUNTIFS(单炉记录!$C:$C,$A29,单炉记录!$Y:$Y,"是"))</f>
        <v/>
      </c>
      <c r="J29" s="7">
        <f>IF($A29="","",IFERROR(ROUND(AVERAGEIF(单炉记录!$C:$C,$A29,单炉记录!$AH:$AH),2),""))</f>
        <v/>
      </c>
      <c r="K29" s="7">
        <f>IF($A29="","",COUNTIFS(单炉记录!$C:$C,$A29,单炉记录!$AN:$AN,"暴冲"))</f>
        <v/>
      </c>
      <c r="L29" s="7">
        <f>IF($A29="","",IFERROR(ROUND(AVERAGEIF(单炉记录!$C:$C,$A29,单炉记录!$AP:$AP),2),""))</f>
        <v/>
      </c>
      <c r="M29" s="7">
        <f>IF($A29="","",IFERROR(ROUND(AVERAGEIF(单炉记录!$C:$C,$A29,单炉记录!$BA:$BA),2),""))</f>
        <v/>
      </c>
      <c r="N29" s="7">
        <f>IF($A29="","",IFERROR(ROUND(AVERAGEIF(单炉记录!$C:$C,$A29,单炉记录!$AX:$AX),2),""))</f>
        <v/>
      </c>
      <c r="O29" s="7">
        <f>IF($A29="","",IFERROR(ROUND(AVERAGEIF(单炉记录!$C:$C,$A29,单炉记录!$AY:$AY),2),""))</f>
        <v/>
      </c>
      <c r="P29" s="5" t="n"/>
      <c r="Q29" s="7">
        <f>IF($A29="","",ROUND(AVERAGE(J29,L29,M29,AVERAGE(N29,O29),P29),2))</f>
        <v/>
      </c>
      <c r="R29" s="5" t="n"/>
      <c r="S29" s="5" t="n"/>
      <c r="T29" s="6" t="n"/>
    </row>
    <row r="30">
      <c r="A30" s="5" t="n"/>
      <c r="B30" s="7">
        <f>IF($A30="","",IFERROR(INDEX(单炉记录!$H:$H,MATCH($A30,单炉记录!$C:$C,0)),""))</f>
        <v/>
      </c>
      <c r="C30" s="7">
        <f>IF($A30="","",IFERROR(INDEX(单炉记录!$E:$E,MATCH($A30,单炉记录!$C:$C,0)),""))</f>
        <v/>
      </c>
      <c r="D30" s="7">
        <f>IF($A30="","",COUNTIF(单炉记录!$C:$C,$A30))</f>
        <v/>
      </c>
      <c r="E30" s="7">
        <f>IF($A30="","",IFERROR(ROUND(AVERAGEIF(单炉记录!$C:$C,$A30,单炉记录!$T:$T),1),""))</f>
        <v/>
      </c>
      <c r="F30" s="7">
        <f>IF($A30="","",IFERROR(MAXIFS(单炉记录!$T:$T,单炉记录!$C:$C,$A30)-MINIFS(单炉记录!$T:$T,单炉记录!$C:$C,$A30),""))</f>
        <v/>
      </c>
      <c r="G30" s="7">
        <f>IF($A30="","",IFERROR(ROUND(AVERAGEIF(单炉记录!$C:$C,$A30,单炉记录!$U:$U),1),""))</f>
        <v/>
      </c>
      <c r="H30" s="7">
        <f>IF($A30="","",IFERROR(MAXIFS(单炉记录!$U:$U,单炉记录!$C:$C,$A30)-MINIFS(单炉记录!$U:$U,单炉记录!$C:$C,$A30),""))</f>
        <v/>
      </c>
      <c r="I30" s="7">
        <f>IF($A30="","",COUNTIFS(单炉记录!$C:$C,$A30,单炉记录!$Y:$Y,"是"))</f>
        <v/>
      </c>
      <c r="J30" s="7">
        <f>IF($A30="","",IFERROR(ROUND(AVERAGEIF(单炉记录!$C:$C,$A30,单炉记录!$AH:$AH),2),""))</f>
        <v/>
      </c>
      <c r="K30" s="7">
        <f>IF($A30="","",COUNTIFS(单炉记录!$C:$C,$A30,单炉记录!$AN:$AN,"暴冲"))</f>
        <v/>
      </c>
      <c r="L30" s="7">
        <f>IF($A30="","",IFERROR(ROUND(AVERAGEIF(单炉记录!$C:$C,$A30,单炉记录!$AP:$AP),2),""))</f>
        <v/>
      </c>
      <c r="M30" s="7">
        <f>IF($A30="","",IFERROR(ROUND(AVERAGEIF(单炉记录!$C:$C,$A30,单炉记录!$BA:$BA),2),""))</f>
        <v/>
      </c>
      <c r="N30" s="7">
        <f>IF($A30="","",IFERROR(ROUND(AVERAGEIF(单炉记录!$C:$C,$A30,单炉记录!$AX:$AX),2),""))</f>
        <v/>
      </c>
      <c r="O30" s="7">
        <f>IF($A30="","",IFERROR(ROUND(AVERAGEIF(单炉记录!$C:$C,$A30,单炉记录!$AY:$AY),2),""))</f>
        <v/>
      </c>
      <c r="P30" s="5" t="n"/>
      <c r="Q30" s="7">
        <f>IF($A30="","",ROUND(AVERAGE(J30,L30,M30,AVERAGE(N30,O30),P30),2))</f>
        <v/>
      </c>
      <c r="R30" s="5" t="n"/>
      <c r="S30" s="5" t="n"/>
      <c r="T30" s="6" t="n"/>
    </row>
    <row r="31">
      <c r="A31" s="5" t="n"/>
      <c r="B31" s="7">
        <f>IF($A31="","",IFERROR(INDEX(单炉记录!$H:$H,MATCH($A31,单炉记录!$C:$C,0)),""))</f>
        <v/>
      </c>
      <c r="C31" s="7">
        <f>IF($A31="","",IFERROR(INDEX(单炉记录!$E:$E,MATCH($A31,单炉记录!$C:$C,0)),""))</f>
        <v/>
      </c>
      <c r="D31" s="7">
        <f>IF($A31="","",COUNTIF(单炉记录!$C:$C,$A31))</f>
        <v/>
      </c>
      <c r="E31" s="7">
        <f>IF($A31="","",IFERROR(ROUND(AVERAGEIF(单炉记录!$C:$C,$A31,单炉记录!$T:$T),1),""))</f>
        <v/>
      </c>
      <c r="F31" s="7">
        <f>IF($A31="","",IFERROR(MAXIFS(单炉记录!$T:$T,单炉记录!$C:$C,$A31)-MINIFS(单炉记录!$T:$T,单炉记录!$C:$C,$A31),""))</f>
        <v/>
      </c>
      <c r="G31" s="7">
        <f>IF($A31="","",IFERROR(ROUND(AVERAGEIF(单炉记录!$C:$C,$A31,单炉记录!$U:$U),1),""))</f>
        <v/>
      </c>
      <c r="H31" s="7">
        <f>IF($A31="","",IFERROR(MAXIFS(单炉记录!$U:$U,单炉记录!$C:$C,$A31)-MINIFS(单炉记录!$U:$U,单炉记录!$C:$C,$A31),""))</f>
        <v/>
      </c>
      <c r="I31" s="7">
        <f>IF($A31="","",COUNTIFS(单炉记录!$C:$C,$A31,单炉记录!$Y:$Y,"是"))</f>
        <v/>
      </c>
      <c r="J31" s="7">
        <f>IF($A31="","",IFERROR(ROUND(AVERAGEIF(单炉记录!$C:$C,$A31,单炉记录!$AH:$AH),2),""))</f>
        <v/>
      </c>
      <c r="K31" s="7">
        <f>IF($A31="","",COUNTIFS(单炉记录!$C:$C,$A31,单炉记录!$AN:$AN,"暴冲"))</f>
        <v/>
      </c>
      <c r="L31" s="7">
        <f>IF($A31="","",IFERROR(ROUND(AVERAGEIF(单炉记录!$C:$C,$A31,单炉记录!$AP:$AP),2),""))</f>
        <v/>
      </c>
      <c r="M31" s="7">
        <f>IF($A31="","",IFERROR(ROUND(AVERAGEIF(单炉记录!$C:$C,$A31,单炉记录!$BA:$BA),2),""))</f>
        <v/>
      </c>
      <c r="N31" s="7">
        <f>IF($A31="","",IFERROR(ROUND(AVERAGEIF(单炉记录!$C:$C,$A31,单炉记录!$AX:$AX),2),""))</f>
        <v/>
      </c>
      <c r="O31" s="7">
        <f>IF($A31="","",IFERROR(ROUND(AVERAGEIF(单炉记录!$C:$C,$A31,单炉记录!$AY:$AY),2),""))</f>
        <v/>
      </c>
      <c r="P31" s="5" t="n"/>
      <c r="Q31" s="7">
        <f>IF($A31="","",ROUND(AVERAGE(J31,L31,M31,AVERAGE(N31,O31),P31),2))</f>
        <v/>
      </c>
      <c r="R31" s="5" t="n"/>
      <c r="S31" s="5" t="n"/>
      <c r="T31" s="6" t="n"/>
    </row>
  </sheetData>
  <autoFilter ref="A1:T31"/>
  <conditionalFormatting sqref="Q2:Q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R2:R31" showErrorMessage="1" showInputMessage="1" allowBlank="1" type="list">
      <formula1>"主工作载量,高密度浅烘备用载量,待观察,当前排除"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2026-03-09T16:30:03Z</dcterms:created>
  <dcterms:modified xmlns:dcterms="http://purl.org/dc/terms/" xmlns:xsi="http://www.w3.org/2001/XMLSchema-instance" xsi:type="dcterms:W3CDTF">2026-03-09T16:30:03Z</dcterms:modified>
</cp:coreProperties>
</file>